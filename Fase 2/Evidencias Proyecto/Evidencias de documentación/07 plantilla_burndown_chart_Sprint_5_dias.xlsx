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  <sheet state="visible" name="Sprint 6" sheetId="6" r:id="rId9"/>
  </sheets>
  <definedNames/>
  <calcPr/>
  <extLst>
    <ext uri="GoogleSheetsCustomDataVersion2">
      <go:sheetsCustomData xmlns:go="http://customooxmlschemas.google.com/" r:id="rId10" roundtripDataChecksum="nkZbCXrWjPydfZtpClyeyvv5ZZkj552ywLYeY4vNpb0="/>
    </ext>
  </extLst>
</workbook>
</file>

<file path=xl/sharedStrings.xml><?xml version="1.0" encoding="utf-8"?>
<sst xmlns="http://schemas.openxmlformats.org/spreadsheetml/2006/main" count="106" uniqueCount="66">
  <si>
    <t>Control del Sprint 1 de 5 días</t>
  </si>
  <si>
    <t>Modifique la zona con color verde</t>
  </si>
  <si>
    <t xml:space="preserve">Tareas </t>
  </si>
  <si>
    <t>horas estimadas</t>
  </si>
  <si>
    <t>DIA</t>
  </si>
  <si>
    <t>Total</t>
  </si>
  <si>
    <t>T1-01</t>
  </si>
  <si>
    <t>T1-02</t>
  </si>
  <si>
    <t>T1-03</t>
  </si>
  <si>
    <t>T1-04</t>
  </si>
  <si>
    <t>T1-05</t>
  </si>
  <si>
    <t>T2-01</t>
  </si>
  <si>
    <t>T2-02</t>
  </si>
  <si>
    <t>T2-03</t>
  </si>
  <si>
    <t>T2-04</t>
  </si>
  <si>
    <t>T3-01</t>
  </si>
  <si>
    <t>T3-02</t>
  </si>
  <si>
    <t>T3-03</t>
  </si>
  <si>
    <t>T3-04</t>
  </si>
  <si>
    <t>Horas Reales de producto por realizar</t>
  </si>
  <si>
    <t>Horas Estimadas de producto por realizar</t>
  </si>
  <si>
    <t>T4-01</t>
  </si>
  <si>
    <t>T4-02</t>
  </si>
  <si>
    <t>T4-03</t>
  </si>
  <si>
    <t>T4-04</t>
  </si>
  <si>
    <t>T4-05</t>
  </si>
  <si>
    <t>T5-01</t>
  </si>
  <si>
    <t>T5-02</t>
  </si>
  <si>
    <t>T5-03</t>
  </si>
  <si>
    <t>T6-01</t>
  </si>
  <si>
    <t>T6-02</t>
  </si>
  <si>
    <t>T7-01</t>
  </si>
  <si>
    <t>T7-02</t>
  </si>
  <si>
    <t>T8-01</t>
  </si>
  <si>
    <t>T8-02</t>
  </si>
  <si>
    <t>T8-03</t>
  </si>
  <si>
    <t>T9-01</t>
  </si>
  <si>
    <t>T9-02</t>
  </si>
  <si>
    <t>T10-01</t>
  </si>
  <si>
    <t>T10-02</t>
  </si>
  <si>
    <t>T11-01</t>
  </si>
  <si>
    <t>T11-02</t>
  </si>
  <si>
    <t>T11-03</t>
  </si>
  <si>
    <t>T12-01</t>
  </si>
  <si>
    <t>T12-02</t>
  </si>
  <si>
    <t>T12-03</t>
  </si>
  <si>
    <t>T13-01</t>
  </si>
  <si>
    <t>T14-01</t>
  </si>
  <si>
    <t>T14-02</t>
  </si>
  <si>
    <t>T15-01</t>
  </si>
  <si>
    <t>T15-02</t>
  </si>
  <si>
    <t>T16-01</t>
  </si>
  <si>
    <t>T16-02</t>
  </si>
  <si>
    <t>T17-01</t>
  </si>
  <si>
    <t>T17-02</t>
  </si>
  <si>
    <t>T18-01</t>
  </si>
  <si>
    <t>T18-02</t>
  </si>
  <si>
    <t>T19-01</t>
  </si>
  <si>
    <t>T19-02</t>
  </si>
  <si>
    <t>T20-01</t>
  </si>
  <si>
    <t>T20-02</t>
  </si>
  <si>
    <t>T21-01</t>
  </si>
  <si>
    <t>T21-02</t>
  </si>
  <si>
    <t>T22-01</t>
  </si>
  <si>
    <t>T22-02</t>
  </si>
  <si>
    <t>T23-01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</si>
</sst>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  <font>
      <sz val="1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Border="1" applyFont="1"/>
    <xf borderId="6" fillId="3" fontId="2" numFmtId="0" xfId="0" applyAlignment="1" applyBorder="1" applyFill="1" applyFont="1">
      <alignment readingOrder="0"/>
    </xf>
    <xf borderId="6" fillId="3" fontId="2" numFmtId="0" xfId="0" applyAlignment="1" applyBorder="1" applyFont="1">
      <alignment horizontal="center" readingOrder="0" shrinkToFit="0" wrapText="1"/>
    </xf>
    <xf borderId="6" fillId="0" fontId="2" numFmtId="0" xfId="0" applyBorder="1" applyFont="1"/>
    <xf borderId="6" fillId="0" fontId="2" numFmtId="0" xfId="0" applyAlignment="1" applyBorder="1" applyFont="1">
      <alignment shrinkToFit="0" wrapText="1"/>
    </xf>
    <xf borderId="6" fillId="0" fontId="3" numFmtId="0" xfId="0" applyBorder="1" applyFont="1"/>
    <xf borderId="0" fillId="0" fontId="2" numFmtId="0" xfId="0" applyAlignment="1" applyFont="1">
      <alignment horizontal="center" shrinkToFit="0" wrapText="1"/>
    </xf>
    <xf borderId="7" fillId="2" fontId="2" numFmtId="0" xfId="0" applyBorder="1" applyFont="1"/>
    <xf borderId="8" fillId="0" fontId="4" numFmtId="0" xfId="0" applyBorder="1" applyFont="1"/>
    <xf borderId="9" fillId="3" fontId="2" numFmtId="0" xfId="0" applyAlignment="1" applyBorder="1" applyFont="1">
      <alignment horizontal="center" readingOrder="0" shrinkToFit="0" wrapText="1"/>
    </xf>
    <xf borderId="1" fillId="0" fontId="2" numFmtId="0" xfId="0" applyBorder="1" applyFont="1"/>
    <xf borderId="10" fillId="0" fontId="2" numFmtId="0" xfId="0" applyBorder="1" applyFont="1"/>
    <xf borderId="0" fillId="0" fontId="2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1'!$C$2:$G$2</c:f>
            </c:strRef>
          </c:cat>
          <c:val>
            <c:numRef>
              <c:f>'Sprint 1'!$C$19:$G$19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1'!$C$2:$G$2</c:f>
            </c:strRef>
          </c:cat>
          <c:val>
            <c:numRef>
              <c:f>'Sprint 1'!$C$21:$G$21</c:f>
              <c:numCache/>
            </c:numRef>
          </c:val>
          <c:smooth val="0"/>
        </c:ser>
        <c:axId val="563480709"/>
        <c:axId val="500644333"/>
      </c:lineChart>
      <c:catAx>
        <c:axId val="563480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0644333"/>
      </c:catAx>
      <c:valAx>
        <c:axId val="500644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348070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2'!$C$2:$G$2</c:f>
            </c:strRef>
          </c:cat>
          <c:val>
            <c:numRef>
              <c:f>'Sprint 2'!$C$18:$G$18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2'!$C$2:$G$2</c:f>
            </c:strRef>
          </c:cat>
          <c:val>
            <c:numRef>
              <c:f>'Sprint 2'!$C$20:$G$20</c:f>
              <c:numCache/>
            </c:numRef>
          </c:val>
          <c:smooth val="0"/>
        </c:ser>
        <c:axId val="1905100931"/>
        <c:axId val="2046195722"/>
      </c:lineChart>
      <c:catAx>
        <c:axId val="1905100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6195722"/>
      </c:catAx>
      <c:valAx>
        <c:axId val="2046195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510093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3'!$C$2:$G$2</c:f>
            </c:strRef>
          </c:cat>
          <c:val>
            <c:numRef>
              <c:f>'Sprint 3'!$C$16:$G$16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3'!$C$2:$G$2</c:f>
            </c:strRef>
          </c:cat>
          <c:val>
            <c:numRef>
              <c:f>'Sprint 3'!$C$18:$G$18</c:f>
              <c:numCache/>
            </c:numRef>
          </c:val>
          <c:smooth val="0"/>
        </c:ser>
        <c:axId val="566182548"/>
        <c:axId val="1254327420"/>
      </c:lineChart>
      <c:catAx>
        <c:axId val="566182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4327420"/>
      </c:catAx>
      <c:valAx>
        <c:axId val="1254327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618254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4'!$C$2:$G$2</c:f>
            </c:strRef>
          </c:cat>
          <c:val>
            <c:numRef>
              <c:f>'Sprint 4'!$C$12:$G$12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4'!$C$2:$G$2</c:f>
            </c:strRef>
          </c:cat>
          <c:val>
            <c:numRef>
              <c:f>'Sprint 4'!$C$14:$G$14</c:f>
              <c:numCache/>
            </c:numRef>
          </c:val>
          <c:smooth val="0"/>
        </c:ser>
        <c:axId val="1382223062"/>
        <c:axId val="1941151375"/>
      </c:lineChart>
      <c:catAx>
        <c:axId val="1382223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1151375"/>
      </c:catAx>
      <c:valAx>
        <c:axId val="1941151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222306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5'!$C$2:$G$2</c:f>
            </c:strRef>
          </c:cat>
          <c:val>
            <c:numRef>
              <c:f>'Sprint 5'!$C$14:$G$14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5'!$C$2:$G$2</c:f>
            </c:strRef>
          </c:cat>
          <c:val>
            <c:numRef>
              <c:f>'Sprint 5'!$C$16:$G$16</c:f>
              <c:numCache/>
            </c:numRef>
          </c:val>
          <c:smooth val="0"/>
        </c:ser>
        <c:axId val="316947391"/>
        <c:axId val="796292059"/>
      </c:lineChart>
      <c:catAx>
        <c:axId val="316947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6292059"/>
      </c:catAx>
      <c:valAx>
        <c:axId val="796292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694739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6'!$C$2:$G$2</c:f>
            </c:strRef>
          </c:cat>
          <c:val>
            <c:numRef>
              <c:f>'Sprint 6'!$C$15:$G$15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6'!$C$2:$G$2</c:f>
            </c:strRef>
          </c:cat>
          <c:val>
            <c:numRef>
              <c:f>'Sprint 6'!$C$17:$G$17</c:f>
              <c:numCache/>
            </c:numRef>
          </c:val>
          <c:smooth val="0"/>
        </c:ser>
        <c:axId val="1049921063"/>
        <c:axId val="1018045460"/>
      </c:lineChart>
      <c:catAx>
        <c:axId val="1049921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8045460"/>
      </c:catAx>
      <c:valAx>
        <c:axId val="1018045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99210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</xdr:row>
      <xdr:rowOff>142875</xdr:rowOff>
    </xdr:from>
    <xdr:ext cx="3524250" cy="5467350"/>
    <xdr:graphicFrame>
      <xdr:nvGraphicFramePr>
        <xdr:cNvPr id="50836080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</xdr:row>
      <xdr:rowOff>142875</xdr:rowOff>
    </xdr:from>
    <xdr:ext cx="3524250" cy="5467350"/>
    <xdr:graphicFrame>
      <xdr:nvGraphicFramePr>
        <xdr:cNvPr id="209892011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</xdr:row>
      <xdr:rowOff>142875</xdr:rowOff>
    </xdr:from>
    <xdr:ext cx="3524250" cy="5467350"/>
    <xdr:graphicFrame>
      <xdr:nvGraphicFramePr>
        <xdr:cNvPr id="34886338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</xdr:row>
      <xdr:rowOff>142875</xdr:rowOff>
    </xdr:from>
    <xdr:ext cx="3524250" cy="5467350"/>
    <xdr:graphicFrame>
      <xdr:nvGraphicFramePr>
        <xdr:cNvPr id="84289910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</xdr:row>
      <xdr:rowOff>142875</xdr:rowOff>
    </xdr:from>
    <xdr:ext cx="3524250" cy="5467350"/>
    <xdr:graphicFrame>
      <xdr:nvGraphicFramePr>
        <xdr:cNvPr id="175787480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1</xdr:row>
      <xdr:rowOff>142875</xdr:rowOff>
    </xdr:from>
    <xdr:ext cx="3524250" cy="5467350"/>
    <xdr:graphicFrame>
      <xdr:nvGraphicFramePr>
        <xdr:cNvPr id="86277605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15.0"/>
    <col customWidth="1" min="3" max="3" width="4.14"/>
    <col customWidth="1" min="4" max="6" width="3.29"/>
    <col customWidth="1" min="7" max="7" width="30.0"/>
    <col customWidth="1" min="8" max="8" width="5.29"/>
    <col customWidth="1" min="9" max="25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2"/>
      <c r="I2" s="2"/>
      <c r="J2" s="2"/>
      <c r="K2" s="2"/>
      <c r="L2" s="2"/>
      <c r="M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7"/>
      <c r="H3" s="4" t="s">
        <v>5</v>
      </c>
      <c r="I3" s="2"/>
      <c r="J3" s="2"/>
      <c r="K3" s="2"/>
      <c r="L3" s="2"/>
      <c r="M3" s="2"/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8"/>
      <c r="I4" s="2"/>
      <c r="J4" s="2"/>
      <c r="K4" s="2"/>
      <c r="L4" s="2"/>
      <c r="M4" s="2"/>
    </row>
    <row r="5" ht="14.25" customHeight="1">
      <c r="A5" s="10" t="s">
        <v>6</v>
      </c>
      <c r="B5" s="11">
        <v>4.0</v>
      </c>
      <c r="C5" s="10">
        <v>1.0</v>
      </c>
      <c r="D5" s="10">
        <v>1.0</v>
      </c>
      <c r="E5" s="10">
        <v>1.0</v>
      </c>
      <c r="F5" s="10">
        <v>1.0</v>
      </c>
      <c r="G5" s="10">
        <v>0.0</v>
      </c>
      <c r="H5" s="12">
        <f t="shared" ref="H5:H17" si="1">SUM(C5:G5)</f>
        <v>4</v>
      </c>
      <c r="I5" s="2"/>
      <c r="J5" s="2"/>
      <c r="K5" s="2"/>
      <c r="L5" s="2"/>
      <c r="M5" s="2"/>
    </row>
    <row r="6" ht="14.25" customHeight="1">
      <c r="A6" s="10" t="s">
        <v>7</v>
      </c>
      <c r="B6" s="11">
        <v>4.0</v>
      </c>
      <c r="C6" s="10">
        <v>0.0</v>
      </c>
      <c r="D6" s="10">
        <v>1.0</v>
      </c>
      <c r="E6" s="10">
        <v>1.0</v>
      </c>
      <c r="F6" s="10">
        <v>1.0</v>
      </c>
      <c r="G6" s="10">
        <v>1.0</v>
      </c>
      <c r="H6" s="12">
        <f t="shared" si="1"/>
        <v>4</v>
      </c>
      <c r="I6" s="2"/>
      <c r="J6" s="2"/>
      <c r="K6" s="2"/>
      <c r="L6" s="2"/>
      <c r="M6" s="2"/>
    </row>
    <row r="7" ht="14.25" customHeight="1">
      <c r="A7" s="10" t="s">
        <v>8</v>
      </c>
      <c r="B7" s="11">
        <v>3.0</v>
      </c>
      <c r="C7" s="10">
        <v>0.0</v>
      </c>
      <c r="D7" s="10">
        <v>1.0</v>
      </c>
      <c r="E7" s="10">
        <v>1.0</v>
      </c>
      <c r="F7" s="10">
        <v>1.0</v>
      </c>
      <c r="G7" s="10">
        <v>0.0</v>
      </c>
      <c r="H7" s="12">
        <f t="shared" si="1"/>
        <v>3</v>
      </c>
      <c r="I7" s="2"/>
      <c r="J7" s="2"/>
      <c r="K7" s="2"/>
      <c r="L7" s="2"/>
      <c r="M7" s="2"/>
    </row>
    <row r="8" ht="14.25" customHeight="1">
      <c r="A8" s="10" t="s">
        <v>9</v>
      </c>
      <c r="B8" s="11">
        <v>3.0</v>
      </c>
      <c r="C8" s="10">
        <v>0.0</v>
      </c>
      <c r="D8" s="10">
        <v>0.0</v>
      </c>
      <c r="E8" s="10">
        <v>1.0</v>
      </c>
      <c r="F8" s="10">
        <v>1.0</v>
      </c>
      <c r="G8" s="10">
        <v>1.0</v>
      </c>
      <c r="H8" s="12">
        <f t="shared" si="1"/>
        <v>3</v>
      </c>
      <c r="I8" s="2"/>
      <c r="J8" s="2"/>
      <c r="K8" s="2"/>
      <c r="L8" s="2"/>
      <c r="M8" s="2"/>
    </row>
    <row r="9" ht="14.25" customHeight="1">
      <c r="A9" s="10" t="s">
        <v>10</v>
      </c>
      <c r="B9" s="11">
        <v>2.0</v>
      </c>
      <c r="C9" s="10">
        <v>0.0</v>
      </c>
      <c r="D9" s="10">
        <v>1.0</v>
      </c>
      <c r="E9" s="10">
        <v>1.0</v>
      </c>
      <c r="F9" s="10">
        <v>0.0</v>
      </c>
      <c r="G9" s="10">
        <v>0.0</v>
      </c>
      <c r="H9" s="12">
        <f t="shared" si="1"/>
        <v>2</v>
      </c>
      <c r="I9" s="2"/>
      <c r="J9" s="2"/>
      <c r="K9" s="2"/>
      <c r="L9" s="2"/>
      <c r="M9" s="2"/>
    </row>
    <row r="10" ht="14.25" customHeight="1">
      <c r="A10" s="10" t="s">
        <v>11</v>
      </c>
      <c r="B10" s="11">
        <v>3.0</v>
      </c>
      <c r="C10" s="10">
        <v>1.0</v>
      </c>
      <c r="D10" s="10">
        <v>1.0</v>
      </c>
      <c r="E10" s="10">
        <v>1.0</v>
      </c>
      <c r="F10" s="10">
        <v>0.0</v>
      </c>
      <c r="G10" s="10">
        <v>0.0</v>
      </c>
      <c r="H10" s="12">
        <f t="shared" si="1"/>
        <v>3</v>
      </c>
      <c r="I10" s="2"/>
      <c r="J10" s="2"/>
      <c r="K10" s="2"/>
      <c r="L10" s="2"/>
      <c r="M10" s="2"/>
    </row>
    <row r="11" ht="14.25" customHeight="1">
      <c r="A11" s="10" t="s">
        <v>12</v>
      </c>
      <c r="B11" s="11">
        <v>4.0</v>
      </c>
      <c r="C11" s="10">
        <v>0.0</v>
      </c>
      <c r="D11" s="10">
        <v>1.0</v>
      </c>
      <c r="E11" s="10">
        <v>1.0</v>
      </c>
      <c r="F11" s="10">
        <v>1.0</v>
      </c>
      <c r="G11" s="10">
        <v>1.0</v>
      </c>
      <c r="H11" s="12">
        <f t="shared" si="1"/>
        <v>4</v>
      </c>
      <c r="I11" s="2"/>
      <c r="J11" s="2"/>
      <c r="K11" s="2"/>
      <c r="L11" s="2"/>
      <c r="M11" s="2"/>
    </row>
    <row r="12" ht="14.25" customHeight="1">
      <c r="A12" s="10" t="s">
        <v>13</v>
      </c>
      <c r="B12" s="11">
        <v>4.0</v>
      </c>
      <c r="C12" s="10">
        <v>1.0</v>
      </c>
      <c r="D12" s="10">
        <v>1.0</v>
      </c>
      <c r="E12" s="10">
        <v>1.0</v>
      </c>
      <c r="F12" s="10">
        <v>0.0</v>
      </c>
      <c r="G12" s="10">
        <v>1.0</v>
      </c>
      <c r="H12" s="12">
        <f t="shared" si="1"/>
        <v>4</v>
      </c>
      <c r="I12" s="2"/>
      <c r="J12" s="2"/>
      <c r="K12" s="2"/>
      <c r="L12" s="2"/>
      <c r="M12" s="2"/>
    </row>
    <row r="13" ht="14.25" customHeight="1">
      <c r="A13" s="10" t="s">
        <v>14</v>
      </c>
      <c r="B13" s="11">
        <v>2.0</v>
      </c>
      <c r="C13" s="10">
        <v>1.0</v>
      </c>
      <c r="D13" s="10">
        <v>0.0</v>
      </c>
      <c r="E13" s="10">
        <v>1.0</v>
      </c>
      <c r="F13" s="10">
        <v>0.0</v>
      </c>
      <c r="G13" s="10">
        <v>0.0</v>
      </c>
      <c r="H13" s="12">
        <f t="shared" si="1"/>
        <v>2</v>
      </c>
      <c r="I13" s="2"/>
      <c r="J13" s="2"/>
      <c r="K13" s="2"/>
      <c r="L13" s="2"/>
      <c r="M13" s="2"/>
    </row>
    <row r="14" ht="14.25" customHeight="1">
      <c r="A14" s="10" t="s">
        <v>15</v>
      </c>
      <c r="B14" s="11">
        <v>3.0</v>
      </c>
      <c r="C14" s="10">
        <v>1.0</v>
      </c>
      <c r="D14" s="10">
        <v>0.0</v>
      </c>
      <c r="E14" s="10">
        <v>0.0</v>
      </c>
      <c r="F14" s="10">
        <v>1.0</v>
      </c>
      <c r="G14" s="10">
        <v>1.0</v>
      </c>
      <c r="H14" s="12">
        <f t="shared" si="1"/>
        <v>3</v>
      </c>
      <c r="I14" s="2"/>
      <c r="J14" s="2"/>
      <c r="K14" s="2"/>
      <c r="L14" s="2"/>
      <c r="M14" s="2"/>
    </row>
    <row r="15" ht="14.25" customHeight="1">
      <c r="A15" s="10" t="s">
        <v>16</v>
      </c>
      <c r="B15" s="11">
        <v>3.0</v>
      </c>
      <c r="C15" s="10">
        <v>1.0</v>
      </c>
      <c r="D15" s="10">
        <v>1.0</v>
      </c>
      <c r="E15" s="10">
        <v>0.0</v>
      </c>
      <c r="F15" s="10">
        <v>0.0</v>
      </c>
      <c r="G15" s="10">
        <v>1.0</v>
      </c>
      <c r="H15" s="12">
        <f t="shared" si="1"/>
        <v>3</v>
      </c>
      <c r="I15" s="2"/>
      <c r="J15" s="2"/>
      <c r="K15" s="2"/>
      <c r="L15" s="2"/>
      <c r="M15" s="2"/>
    </row>
    <row r="16" ht="14.25" customHeight="1">
      <c r="A16" s="10" t="s">
        <v>17</v>
      </c>
      <c r="B16" s="11">
        <v>3.0</v>
      </c>
      <c r="C16" s="10">
        <v>1.0</v>
      </c>
      <c r="D16" s="10">
        <v>0.0</v>
      </c>
      <c r="E16" s="10">
        <v>1.0</v>
      </c>
      <c r="F16" s="10">
        <v>0.0</v>
      </c>
      <c r="G16" s="10">
        <v>1.0</v>
      </c>
      <c r="H16" s="12">
        <f t="shared" si="1"/>
        <v>3</v>
      </c>
      <c r="I16" s="2"/>
      <c r="J16" s="2"/>
      <c r="K16" s="2"/>
      <c r="L16" s="2"/>
      <c r="M16" s="2"/>
    </row>
    <row r="17" ht="14.25" customHeight="1">
      <c r="A17" s="10" t="s">
        <v>18</v>
      </c>
      <c r="B17" s="11">
        <v>2.0</v>
      </c>
      <c r="C17" s="10">
        <v>0.0</v>
      </c>
      <c r="D17" s="10">
        <v>1.0</v>
      </c>
      <c r="E17" s="10">
        <v>0.0</v>
      </c>
      <c r="F17" s="10">
        <v>1.0</v>
      </c>
      <c r="G17" s="10">
        <v>0.0</v>
      </c>
      <c r="H17" s="12">
        <f t="shared" si="1"/>
        <v>2</v>
      </c>
      <c r="I17" s="2"/>
      <c r="J17" s="2"/>
      <c r="K17" s="2"/>
      <c r="L17" s="2"/>
      <c r="M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14.25" customHeight="1">
      <c r="A19" s="2"/>
      <c r="B19" s="3">
        <f>SUM(B5:B18)</f>
        <v>40</v>
      </c>
      <c r="C19" s="3">
        <f>B19</f>
        <v>40</v>
      </c>
      <c r="D19" s="3">
        <f t="shared" ref="D19:G19" si="2">C19-SUM(C5:C17)</f>
        <v>33</v>
      </c>
      <c r="E19" s="3">
        <f t="shared" si="2"/>
        <v>24</v>
      </c>
      <c r="F19" s="3">
        <f t="shared" si="2"/>
        <v>14</v>
      </c>
      <c r="G19" s="3">
        <f t="shared" si="2"/>
        <v>7</v>
      </c>
      <c r="H19" s="2"/>
      <c r="I19" s="2"/>
      <c r="J19" s="2"/>
      <c r="K19" s="2"/>
      <c r="L19" s="2"/>
      <c r="M19" s="2"/>
    </row>
    <row r="20" ht="14.25" customHeight="1">
      <c r="A20" s="13" t="s">
        <v>19</v>
      </c>
      <c r="B20" s="12">
        <f t="shared" ref="B20:F20" si="3">C19</f>
        <v>40</v>
      </c>
      <c r="C20" s="12">
        <f t="shared" si="3"/>
        <v>33</v>
      </c>
      <c r="D20" s="12">
        <f t="shared" si="3"/>
        <v>24</v>
      </c>
      <c r="E20" s="12">
        <f t="shared" si="3"/>
        <v>14</v>
      </c>
      <c r="F20" s="12">
        <f t="shared" si="3"/>
        <v>7</v>
      </c>
      <c r="G20" s="12" t="str">
        <f>#REF!</f>
        <v>#REF!</v>
      </c>
      <c r="H20" s="2"/>
      <c r="I20" s="2"/>
      <c r="J20" s="2"/>
      <c r="K20" s="2"/>
      <c r="L20" s="2"/>
      <c r="M20" s="2"/>
    </row>
    <row r="21" ht="14.25" customHeight="1">
      <c r="A21" s="12"/>
      <c r="B21" s="14">
        <f>SUM(B5:B17)</f>
        <v>40</v>
      </c>
      <c r="C21" s="14">
        <f>SUM(B5:B17)</f>
        <v>40</v>
      </c>
      <c r="D21" s="14">
        <f t="shared" ref="D21:G21" si="4">C21-(SUM($B$5:$B$17)/5)</f>
        <v>32</v>
      </c>
      <c r="E21" s="14">
        <f t="shared" si="4"/>
        <v>24</v>
      </c>
      <c r="F21" s="14">
        <f t="shared" si="4"/>
        <v>16</v>
      </c>
      <c r="G21" s="14">
        <f t="shared" si="4"/>
        <v>8</v>
      </c>
      <c r="H21" s="3"/>
      <c r="I21" s="2"/>
      <c r="J21" s="2"/>
      <c r="K21" s="2"/>
      <c r="L21" s="2"/>
      <c r="M21" s="2"/>
    </row>
    <row r="22" ht="14.25" customHeight="1">
      <c r="A22" s="13" t="s">
        <v>20</v>
      </c>
      <c r="B22" s="12">
        <f>B21</f>
        <v>40</v>
      </c>
      <c r="C22" s="12">
        <f t="shared" ref="C22:F22" si="5">D21</f>
        <v>32</v>
      </c>
      <c r="D22" s="12">
        <f t="shared" si="5"/>
        <v>24</v>
      </c>
      <c r="E22" s="12">
        <f t="shared" si="5"/>
        <v>16</v>
      </c>
      <c r="F22" s="12">
        <f t="shared" si="5"/>
        <v>8</v>
      </c>
      <c r="G22" s="12" t="str">
        <f>#REF!</f>
        <v>#REF!</v>
      </c>
      <c r="H22" s="2"/>
      <c r="I22" s="2"/>
      <c r="J22" s="2"/>
      <c r="K22" s="2"/>
      <c r="L22" s="2"/>
      <c r="M22" s="2"/>
    </row>
    <row r="23" ht="14.25" customHeight="1">
      <c r="A23" s="2"/>
      <c r="B23" s="1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4.25" customHeight="1">
      <c r="A24" s="2"/>
      <c r="B24" s="15"/>
      <c r="C24" s="2"/>
      <c r="D24" s="2"/>
      <c r="E24" s="2"/>
      <c r="F24" s="2"/>
      <c r="G24" s="15"/>
      <c r="H24" s="2"/>
      <c r="I24" s="2"/>
      <c r="J24" s="2"/>
      <c r="K24" s="2"/>
      <c r="L24" s="2"/>
      <c r="M24" s="2"/>
    </row>
    <row r="25" ht="14.25" customHeight="1">
      <c r="A25" s="2"/>
      <c r="B25" s="15"/>
      <c r="C25" s="2"/>
      <c r="D25" s="2"/>
      <c r="E25" s="2"/>
      <c r="F25" s="2"/>
      <c r="G25" s="15"/>
      <c r="H25" s="2"/>
      <c r="I25" s="2"/>
      <c r="J25" s="2"/>
      <c r="K25" s="2"/>
      <c r="L25" s="2"/>
      <c r="M25" s="2"/>
    </row>
    <row r="26" ht="14.25" customHeight="1">
      <c r="A26" s="2"/>
      <c r="B26" s="15"/>
      <c r="C26" s="2"/>
      <c r="D26" s="2"/>
      <c r="E26" s="2"/>
      <c r="F26" s="2"/>
      <c r="G26" s="15"/>
      <c r="H26" s="2"/>
      <c r="I26" s="2"/>
      <c r="J26" s="2"/>
      <c r="K26" s="2"/>
      <c r="L26" s="2"/>
      <c r="M26" s="2"/>
    </row>
    <row r="27" ht="14.25" customHeight="1">
      <c r="A27" s="2"/>
      <c r="B27" s="15"/>
      <c r="C27" s="2"/>
      <c r="D27" s="2"/>
      <c r="E27" s="2"/>
      <c r="F27" s="2"/>
      <c r="G27" s="15"/>
      <c r="H27" s="2"/>
      <c r="I27" s="2"/>
      <c r="J27" s="2"/>
      <c r="K27" s="2"/>
      <c r="L27" s="2"/>
      <c r="M27" s="2"/>
    </row>
    <row r="28" ht="14.25" customHeight="1">
      <c r="A28" s="2"/>
      <c r="B28" s="15"/>
      <c r="C28" s="2"/>
      <c r="D28" s="2"/>
      <c r="E28" s="2"/>
      <c r="F28" s="2"/>
      <c r="G28" s="15"/>
    </row>
    <row r="29" ht="14.25" customHeight="1">
      <c r="A29" s="2"/>
      <c r="B29" s="15"/>
      <c r="C29" s="2"/>
      <c r="D29" s="2"/>
      <c r="E29" s="2"/>
      <c r="F29" s="2"/>
      <c r="G29" s="15"/>
    </row>
    <row r="30" ht="14.25" customHeight="1">
      <c r="A30" s="2"/>
      <c r="B30" s="15"/>
      <c r="C30" s="2"/>
      <c r="D30" s="2"/>
      <c r="E30" s="2"/>
      <c r="F30" s="2"/>
      <c r="G30" s="2"/>
    </row>
    <row r="31" ht="14.25" customHeight="1">
      <c r="A31" s="2"/>
      <c r="B31" s="15"/>
      <c r="C31" s="2"/>
      <c r="D31" s="2"/>
      <c r="E31" s="2"/>
      <c r="F31" s="2"/>
      <c r="G31" s="2"/>
    </row>
    <row r="32" ht="14.25" customHeight="1">
      <c r="A32" s="2"/>
      <c r="B32" s="15"/>
      <c r="C32" s="2"/>
      <c r="D32" s="2"/>
      <c r="E32" s="2"/>
      <c r="F32" s="2"/>
      <c r="G32" s="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4">
    <mergeCell ref="A3:A4"/>
    <mergeCell ref="B3:B4"/>
    <mergeCell ref="C3:G3"/>
    <mergeCell ref="H3:H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7" width="4.57"/>
    <col customWidth="1" min="8" max="25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2"/>
      <c r="I2" s="2"/>
      <c r="J2" s="2"/>
      <c r="K2" s="2"/>
      <c r="L2" s="2"/>
      <c r="M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7"/>
      <c r="H3" s="4" t="s">
        <v>5</v>
      </c>
      <c r="I3" s="2"/>
      <c r="J3" s="2"/>
      <c r="K3" s="2"/>
      <c r="L3" s="2"/>
      <c r="M3" s="2"/>
    </row>
    <row r="4" ht="14.25" customHeight="1">
      <c r="A4" s="8"/>
      <c r="B4" s="8"/>
      <c r="C4" s="16">
        <v>1.0</v>
      </c>
      <c r="D4" s="16">
        <v>2.0</v>
      </c>
      <c r="E4" s="16">
        <v>3.0</v>
      </c>
      <c r="F4" s="16">
        <v>4.0</v>
      </c>
      <c r="G4" s="16">
        <v>5.0</v>
      </c>
      <c r="H4" s="17"/>
      <c r="I4" s="2"/>
      <c r="J4" s="2"/>
      <c r="K4" s="2"/>
      <c r="L4" s="2"/>
      <c r="M4" s="2"/>
    </row>
    <row r="5" ht="14.25" customHeight="1">
      <c r="A5" s="10" t="s">
        <v>21</v>
      </c>
      <c r="B5" s="18">
        <v>3.0</v>
      </c>
      <c r="C5" s="10">
        <v>2.0</v>
      </c>
      <c r="D5" s="10">
        <v>0.0</v>
      </c>
      <c r="E5" s="10">
        <v>1.0</v>
      </c>
      <c r="F5" s="10">
        <v>0.0</v>
      </c>
      <c r="G5" s="10">
        <v>0.0</v>
      </c>
      <c r="H5" s="19">
        <f t="shared" ref="H5:H16" si="1">SUM(C5:G5)</f>
        <v>3</v>
      </c>
      <c r="I5" s="2"/>
      <c r="J5" s="2"/>
      <c r="K5" s="2"/>
      <c r="L5" s="2"/>
      <c r="M5" s="2"/>
    </row>
    <row r="6" ht="14.25" customHeight="1">
      <c r="A6" s="10" t="s">
        <v>22</v>
      </c>
      <c r="B6" s="18">
        <v>3.0</v>
      </c>
      <c r="C6" s="10">
        <v>1.0</v>
      </c>
      <c r="D6" s="10">
        <v>0.0</v>
      </c>
      <c r="E6" s="10">
        <v>1.0</v>
      </c>
      <c r="F6" s="10">
        <v>0.0</v>
      </c>
      <c r="G6" s="10">
        <v>1.0</v>
      </c>
      <c r="H6" s="20">
        <f t="shared" si="1"/>
        <v>3</v>
      </c>
      <c r="I6" s="2"/>
      <c r="J6" s="2"/>
      <c r="K6" s="2"/>
      <c r="L6" s="2"/>
      <c r="M6" s="2"/>
    </row>
    <row r="7" ht="14.25" customHeight="1">
      <c r="A7" s="10" t="s">
        <v>23</v>
      </c>
      <c r="B7" s="18">
        <v>2.0</v>
      </c>
      <c r="C7" s="10">
        <v>0.0</v>
      </c>
      <c r="D7" s="10">
        <v>0.0</v>
      </c>
      <c r="E7" s="10">
        <v>1.0</v>
      </c>
      <c r="F7" s="10">
        <v>1.0</v>
      </c>
      <c r="G7" s="10">
        <v>0.0</v>
      </c>
      <c r="H7" s="20">
        <f t="shared" si="1"/>
        <v>2</v>
      </c>
      <c r="I7" s="2"/>
      <c r="J7" s="2"/>
      <c r="K7" s="2"/>
      <c r="L7" s="2"/>
      <c r="M7" s="2"/>
    </row>
    <row r="8" ht="14.25" customHeight="1">
      <c r="A8" s="10" t="s">
        <v>24</v>
      </c>
      <c r="B8" s="18">
        <v>3.0</v>
      </c>
      <c r="C8" s="10">
        <v>1.0</v>
      </c>
      <c r="D8" s="10">
        <v>0.0</v>
      </c>
      <c r="E8" s="10">
        <v>1.0</v>
      </c>
      <c r="F8" s="10">
        <v>0.0</v>
      </c>
      <c r="G8" s="10">
        <v>1.0</v>
      </c>
      <c r="H8" s="20">
        <f t="shared" si="1"/>
        <v>3</v>
      </c>
      <c r="I8" s="2"/>
      <c r="J8" s="2"/>
      <c r="K8" s="2"/>
      <c r="L8" s="2"/>
      <c r="M8" s="2"/>
    </row>
    <row r="9" ht="14.25" customHeight="1">
      <c r="A9" s="10" t="s">
        <v>25</v>
      </c>
      <c r="B9" s="18">
        <v>3.0</v>
      </c>
      <c r="C9" s="10">
        <v>1.0</v>
      </c>
      <c r="D9" s="10">
        <v>0.0</v>
      </c>
      <c r="E9" s="10">
        <v>2.0</v>
      </c>
      <c r="F9" s="10">
        <v>0.0</v>
      </c>
      <c r="G9" s="10">
        <v>0.0</v>
      </c>
      <c r="H9" s="20">
        <f t="shared" si="1"/>
        <v>3</v>
      </c>
      <c r="I9" s="2"/>
      <c r="J9" s="2"/>
      <c r="K9" s="2"/>
      <c r="L9" s="2"/>
      <c r="M9" s="2"/>
    </row>
    <row r="10" ht="14.25" customHeight="1">
      <c r="A10" s="10" t="s">
        <v>26</v>
      </c>
      <c r="B10" s="18">
        <v>3.0</v>
      </c>
      <c r="C10" s="10">
        <v>1.0</v>
      </c>
      <c r="D10" s="10">
        <v>0.0</v>
      </c>
      <c r="E10" s="10">
        <v>0.0</v>
      </c>
      <c r="F10" s="10">
        <v>1.0</v>
      </c>
      <c r="G10" s="10">
        <v>1.0</v>
      </c>
      <c r="H10" s="20">
        <f t="shared" si="1"/>
        <v>3</v>
      </c>
      <c r="I10" s="2"/>
      <c r="J10" s="2"/>
      <c r="K10" s="2"/>
      <c r="L10" s="2"/>
      <c r="M10" s="2"/>
    </row>
    <row r="11" ht="14.25" customHeight="1">
      <c r="A11" s="10" t="s">
        <v>27</v>
      </c>
      <c r="B11" s="18">
        <v>2.0</v>
      </c>
      <c r="C11" s="10">
        <v>1.0</v>
      </c>
      <c r="D11" s="10">
        <v>0.0</v>
      </c>
      <c r="E11" s="10">
        <v>1.0</v>
      </c>
      <c r="F11" s="10">
        <v>1.0</v>
      </c>
      <c r="G11" s="10">
        <v>0.0</v>
      </c>
      <c r="H11" s="20">
        <f t="shared" si="1"/>
        <v>3</v>
      </c>
      <c r="I11" s="2"/>
      <c r="J11" s="2"/>
      <c r="K11" s="2"/>
      <c r="L11" s="2"/>
      <c r="M11" s="2"/>
    </row>
    <row r="12" ht="14.25" customHeight="1">
      <c r="A12" s="10" t="s">
        <v>28</v>
      </c>
      <c r="B12" s="18">
        <v>2.0</v>
      </c>
      <c r="C12" s="10">
        <v>0.0</v>
      </c>
      <c r="D12" s="10">
        <v>1.0</v>
      </c>
      <c r="E12" s="10">
        <v>1.0</v>
      </c>
      <c r="F12" s="10">
        <v>1.0</v>
      </c>
      <c r="G12" s="10">
        <v>0.0</v>
      </c>
      <c r="H12" s="20">
        <f t="shared" si="1"/>
        <v>3</v>
      </c>
      <c r="I12" s="2"/>
      <c r="J12" s="2"/>
      <c r="K12" s="2"/>
      <c r="L12" s="2"/>
      <c r="M12" s="2"/>
    </row>
    <row r="13" ht="14.25" customHeight="1">
      <c r="A13" s="10" t="s">
        <v>29</v>
      </c>
      <c r="B13" s="18">
        <v>3.0</v>
      </c>
      <c r="C13" s="10">
        <v>3.0</v>
      </c>
      <c r="D13" s="10">
        <v>0.0</v>
      </c>
      <c r="E13" s="10">
        <v>0.0</v>
      </c>
      <c r="F13" s="10">
        <v>0.0</v>
      </c>
      <c r="G13" s="10">
        <v>0.0</v>
      </c>
      <c r="H13" s="20">
        <f t="shared" si="1"/>
        <v>3</v>
      </c>
      <c r="I13" s="2"/>
      <c r="J13" s="2"/>
      <c r="K13" s="2"/>
      <c r="L13" s="2"/>
      <c r="M13" s="2"/>
    </row>
    <row r="14" ht="14.25" customHeight="1">
      <c r="A14" s="10" t="s">
        <v>30</v>
      </c>
      <c r="B14" s="18">
        <v>2.0</v>
      </c>
      <c r="C14" s="10">
        <v>2.0</v>
      </c>
      <c r="D14" s="10">
        <v>1.0</v>
      </c>
      <c r="E14" s="10">
        <v>0.0</v>
      </c>
      <c r="F14" s="10">
        <v>0.0</v>
      </c>
      <c r="G14" s="10">
        <v>0.0</v>
      </c>
      <c r="H14" s="20">
        <f t="shared" si="1"/>
        <v>3</v>
      </c>
      <c r="I14" s="2"/>
      <c r="J14" s="2"/>
      <c r="K14" s="2"/>
      <c r="L14" s="2"/>
      <c r="M14" s="2"/>
    </row>
    <row r="15" ht="14.25" customHeight="1">
      <c r="A15" s="10" t="s">
        <v>31</v>
      </c>
      <c r="B15" s="18">
        <v>2.0</v>
      </c>
      <c r="C15" s="10">
        <v>0.0</v>
      </c>
      <c r="D15" s="10">
        <v>0.0</v>
      </c>
      <c r="E15" s="10">
        <v>1.0</v>
      </c>
      <c r="F15" s="10">
        <v>1.0</v>
      </c>
      <c r="G15" s="10">
        <v>1.0</v>
      </c>
      <c r="H15" s="20">
        <f t="shared" si="1"/>
        <v>3</v>
      </c>
      <c r="I15" s="2"/>
      <c r="J15" s="2"/>
      <c r="K15" s="2"/>
      <c r="L15" s="2"/>
      <c r="M15" s="2"/>
    </row>
    <row r="16" ht="14.25" customHeight="1">
      <c r="A16" s="10" t="s">
        <v>32</v>
      </c>
      <c r="B16" s="18">
        <v>2.0</v>
      </c>
      <c r="C16" s="10">
        <v>1.0</v>
      </c>
      <c r="D16" s="10">
        <v>1.0</v>
      </c>
      <c r="E16" s="10">
        <v>0.0</v>
      </c>
      <c r="F16" s="10">
        <v>0.0</v>
      </c>
      <c r="G16" s="10">
        <v>0.0</v>
      </c>
      <c r="H16" s="20">
        <f t="shared" si="1"/>
        <v>2</v>
      </c>
      <c r="I16" s="2"/>
      <c r="J16" s="2"/>
      <c r="K16" s="2"/>
      <c r="L16" s="2"/>
      <c r="M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14.25" customHeight="1">
      <c r="A18" s="2"/>
      <c r="B18" s="3">
        <f>SUM(B5:B17)</f>
        <v>30</v>
      </c>
      <c r="C18" s="3">
        <f>B18</f>
        <v>30</v>
      </c>
      <c r="D18" s="3">
        <f t="shared" ref="D18:G18" si="2">C18-SUM(C5:C16)</f>
        <v>17</v>
      </c>
      <c r="E18" s="3">
        <f t="shared" si="2"/>
        <v>14</v>
      </c>
      <c r="F18" s="3">
        <f t="shared" si="2"/>
        <v>5</v>
      </c>
      <c r="G18" s="3">
        <f t="shared" si="2"/>
        <v>0</v>
      </c>
      <c r="H18" s="2"/>
      <c r="I18" s="2"/>
      <c r="J18" s="2"/>
      <c r="K18" s="2"/>
      <c r="L18" s="2"/>
      <c r="M18" s="2"/>
    </row>
    <row r="19" ht="14.25" customHeight="1">
      <c r="A19" s="21" t="s">
        <v>19</v>
      </c>
      <c r="B19" s="2">
        <f t="shared" ref="B19:F19" si="3">C18</f>
        <v>30</v>
      </c>
      <c r="C19" s="2">
        <f t="shared" si="3"/>
        <v>17</v>
      </c>
      <c r="D19" s="2">
        <f t="shared" si="3"/>
        <v>14</v>
      </c>
      <c r="E19" s="2">
        <f t="shared" si="3"/>
        <v>5</v>
      </c>
      <c r="F19" s="2">
        <f t="shared" si="3"/>
        <v>0</v>
      </c>
      <c r="G19" s="2" t="str">
        <f>#REF!</f>
        <v>#REF!</v>
      </c>
      <c r="H19" s="2"/>
      <c r="I19" s="2"/>
      <c r="J19" s="2"/>
      <c r="K19" s="2"/>
      <c r="L19" s="2"/>
      <c r="M19" s="2"/>
    </row>
    <row r="20" ht="14.25" customHeight="1">
      <c r="A20" s="2"/>
      <c r="B20" s="3">
        <f>SUM(B5:B16)</f>
        <v>30</v>
      </c>
      <c r="C20" s="3">
        <f>SUM(B5:B16)</f>
        <v>30</v>
      </c>
      <c r="D20" s="3">
        <f t="shared" ref="D20:G20" si="4">C20-(SUM($B$5:$B$16)/5)</f>
        <v>24</v>
      </c>
      <c r="E20" s="3">
        <f t="shared" si="4"/>
        <v>18</v>
      </c>
      <c r="F20" s="3">
        <f t="shared" si="4"/>
        <v>12</v>
      </c>
      <c r="G20" s="3">
        <f t="shared" si="4"/>
        <v>6</v>
      </c>
      <c r="H20" s="3"/>
      <c r="I20" s="2"/>
      <c r="J20" s="2"/>
      <c r="K20" s="2"/>
      <c r="L20" s="2"/>
      <c r="M20" s="2"/>
    </row>
    <row r="21" ht="14.25" customHeight="1">
      <c r="A21" s="21" t="s">
        <v>20</v>
      </c>
      <c r="B21" s="2">
        <f>B20</f>
        <v>30</v>
      </c>
      <c r="C21" s="2">
        <f t="shared" ref="C21:F21" si="5">D20</f>
        <v>24</v>
      </c>
      <c r="D21" s="2">
        <f t="shared" si="5"/>
        <v>18</v>
      </c>
      <c r="E21" s="2">
        <f t="shared" si="5"/>
        <v>12</v>
      </c>
      <c r="F21" s="2">
        <f t="shared" si="5"/>
        <v>6</v>
      </c>
      <c r="G21" s="2" t="str">
        <f>#REF!</f>
        <v>#REF!</v>
      </c>
      <c r="H21" s="2"/>
      <c r="I21" s="2"/>
      <c r="J21" s="2"/>
      <c r="K21" s="2"/>
      <c r="L21" s="2"/>
      <c r="M21" s="2"/>
    </row>
    <row r="22" ht="14.25" customHeight="1">
      <c r="A22" s="2"/>
      <c r="B22" s="1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4.25" customHeight="1">
      <c r="A23" s="2"/>
      <c r="B23" s="15"/>
      <c r="C23" s="2"/>
      <c r="D23" s="2"/>
      <c r="E23" s="2"/>
      <c r="F23" s="2"/>
      <c r="G23" s="15"/>
      <c r="H23" s="2"/>
      <c r="I23" s="2"/>
      <c r="J23" s="2"/>
      <c r="K23" s="2"/>
      <c r="L23" s="2"/>
      <c r="M23" s="2"/>
    </row>
    <row r="24" ht="14.25" customHeight="1">
      <c r="A24" s="2"/>
      <c r="B24" s="15"/>
      <c r="C24" s="2"/>
      <c r="D24" s="2"/>
      <c r="E24" s="2"/>
      <c r="F24" s="2"/>
      <c r="G24" s="15"/>
      <c r="H24" s="2"/>
      <c r="I24" s="2"/>
      <c r="J24" s="2"/>
      <c r="K24" s="2"/>
      <c r="L24" s="2"/>
      <c r="M24" s="2"/>
    </row>
    <row r="25" ht="14.25" customHeight="1">
      <c r="A25" s="2"/>
      <c r="B25" s="15"/>
      <c r="C25" s="2"/>
      <c r="D25" s="2"/>
      <c r="E25" s="2"/>
      <c r="F25" s="2"/>
      <c r="G25" s="15"/>
      <c r="H25" s="2"/>
      <c r="I25" s="2"/>
      <c r="J25" s="2"/>
      <c r="K25" s="2"/>
      <c r="L25" s="2"/>
      <c r="M25" s="2"/>
    </row>
    <row r="26" ht="14.25" customHeight="1">
      <c r="A26" s="2"/>
      <c r="B26" s="15"/>
      <c r="C26" s="2"/>
      <c r="D26" s="2"/>
      <c r="E26" s="2"/>
      <c r="F26" s="2"/>
      <c r="G26" s="15"/>
      <c r="H26" s="2"/>
      <c r="I26" s="2"/>
      <c r="J26" s="2"/>
      <c r="K26" s="2"/>
      <c r="L26" s="2"/>
      <c r="M26" s="2"/>
    </row>
    <row r="27" ht="14.25" customHeight="1">
      <c r="A27" s="2"/>
      <c r="B27" s="15"/>
      <c r="C27" s="2"/>
      <c r="D27" s="2"/>
      <c r="E27" s="2"/>
      <c r="F27" s="2"/>
      <c r="G27" s="15"/>
    </row>
    <row r="28" ht="14.25" customHeight="1">
      <c r="A28" s="2"/>
      <c r="B28" s="15"/>
      <c r="C28" s="2"/>
      <c r="D28" s="2"/>
      <c r="E28" s="2"/>
      <c r="F28" s="2"/>
      <c r="G28" s="15"/>
    </row>
    <row r="29" ht="14.25" customHeight="1">
      <c r="A29" s="2"/>
      <c r="B29" s="15"/>
      <c r="C29" s="2"/>
      <c r="D29" s="2"/>
      <c r="E29" s="2"/>
      <c r="F29" s="2"/>
      <c r="G29" s="2"/>
    </row>
    <row r="30" ht="14.25" customHeight="1">
      <c r="A30" s="2"/>
      <c r="B30" s="15"/>
      <c r="C30" s="2"/>
      <c r="D30" s="2"/>
      <c r="E30" s="2"/>
      <c r="F30" s="2"/>
      <c r="G30" s="2"/>
    </row>
    <row r="31" ht="14.25" customHeight="1">
      <c r="A31" s="2"/>
      <c r="B31" s="15"/>
      <c r="C31" s="2"/>
      <c r="D31" s="2"/>
      <c r="E31" s="2"/>
      <c r="F31" s="2"/>
      <c r="G31" s="2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4">
    <mergeCell ref="A3:A4"/>
    <mergeCell ref="B3:B4"/>
    <mergeCell ref="C3:G3"/>
    <mergeCell ref="H3:H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7" width="4.57"/>
    <col customWidth="1" min="8" max="25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2"/>
      <c r="I2" s="2"/>
      <c r="J2" s="2"/>
      <c r="K2" s="2"/>
      <c r="L2" s="2"/>
      <c r="M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7"/>
      <c r="H3" s="4" t="s">
        <v>5</v>
      </c>
      <c r="I3" s="2"/>
      <c r="J3" s="2"/>
      <c r="K3" s="2"/>
      <c r="L3" s="2"/>
      <c r="M3" s="2"/>
    </row>
    <row r="4" ht="14.25" customHeight="1">
      <c r="A4" s="8"/>
      <c r="B4" s="8"/>
      <c r="C4" s="16">
        <v>1.0</v>
      </c>
      <c r="D4" s="16">
        <v>2.0</v>
      </c>
      <c r="E4" s="16">
        <v>3.0</v>
      </c>
      <c r="F4" s="16">
        <v>4.0</v>
      </c>
      <c r="G4" s="16">
        <v>5.0</v>
      </c>
      <c r="H4" s="17"/>
      <c r="I4" s="2"/>
      <c r="J4" s="2"/>
      <c r="K4" s="2"/>
      <c r="L4" s="2"/>
      <c r="M4" s="2"/>
    </row>
    <row r="5" ht="14.25" customHeight="1">
      <c r="A5" s="10" t="s">
        <v>33</v>
      </c>
      <c r="B5" s="18">
        <v>3.0</v>
      </c>
      <c r="C5" s="10">
        <v>1.0</v>
      </c>
      <c r="D5" s="10">
        <v>1.0</v>
      </c>
      <c r="E5" s="10">
        <v>0.0</v>
      </c>
      <c r="F5" s="10">
        <v>0.0</v>
      </c>
      <c r="G5" s="10">
        <v>1.0</v>
      </c>
      <c r="H5" s="19">
        <f t="shared" ref="H5:H14" si="1">SUM(C5:G5)</f>
        <v>3</v>
      </c>
      <c r="I5" s="2"/>
      <c r="J5" s="2"/>
      <c r="K5" s="2"/>
      <c r="L5" s="2"/>
      <c r="M5" s="2"/>
    </row>
    <row r="6" ht="14.25" customHeight="1">
      <c r="A6" s="10" t="s">
        <v>34</v>
      </c>
      <c r="B6" s="18">
        <v>2.0</v>
      </c>
      <c r="C6" s="10">
        <v>1.0</v>
      </c>
      <c r="D6" s="10">
        <v>0.0</v>
      </c>
      <c r="E6" s="10">
        <v>0.0</v>
      </c>
      <c r="F6" s="10">
        <v>0.0</v>
      </c>
      <c r="G6" s="10">
        <v>1.0</v>
      </c>
      <c r="H6" s="20">
        <f t="shared" si="1"/>
        <v>2</v>
      </c>
      <c r="I6" s="2"/>
      <c r="J6" s="2"/>
      <c r="K6" s="2"/>
      <c r="L6" s="2"/>
      <c r="M6" s="2"/>
    </row>
    <row r="7" ht="14.25" customHeight="1">
      <c r="A7" s="10" t="s">
        <v>35</v>
      </c>
      <c r="B7" s="18">
        <v>2.0</v>
      </c>
      <c r="C7" s="10">
        <v>0.0</v>
      </c>
      <c r="D7" s="10">
        <v>2.0</v>
      </c>
      <c r="E7" s="10">
        <v>0.0</v>
      </c>
      <c r="F7" s="10">
        <v>0.0</v>
      </c>
      <c r="G7" s="10">
        <v>0.0</v>
      </c>
      <c r="H7" s="20">
        <f t="shared" si="1"/>
        <v>2</v>
      </c>
      <c r="I7" s="2"/>
      <c r="J7" s="2"/>
      <c r="K7" s="2"/>
      <c r="L7" s="2"/>
      <c r="M7" s="2"/>
    </row>
    <row r="8" ht="14.25" customHeight="1">
      <c r="A8" s="10" t="s">
        <v>36</v>
      </c>
      <c r="B8" s="18">
        <v>2.0</v>
      </c>
      <c r="C8" s="10">
        <v>1.0</v>
      </c>
      <c r="D8" s="10">
        <v>0.0</v>
      </c>
      <c r="E8" s="10">
        <v>2.0</v>
      </c>
      <c r="F8" s="10">
        <v>0.0</v>
      </c>
      <c r="G8" s="10">
        <v>1.0</v>
      </c>
      <c r="H8" s="20">
        <f t="shared" si="1"/>
        <v>4</v>
      </c>
      <c r="I8" s="2"/>
      <c r="J8" s="2"/>
      <c r="K8" s="2"/>
      <c r="L8" s="2"/>
      <c r="M8" s="2"/>
    </row>
    <row r="9" ht="14.25" customHeight="1">
      <c r="A9" s="10" t="s">
        <v>37</v>
      </c>
      <c r="B9" s="18">
        <v>1.0</v>
      </c>
      <c r="C9" s="10">
        <v>0.0</v>
      </c>
      <c r="D9" s="10">
        <v>0.0</v>
      </c>
      <c r="E9" s="10">
        <v>0.0</v>
      </c>
      <c r="F9" s="10">
        <v>0.0</v>
      </c>
      <c r="G9" s="10">
        <v>1.0</v>
      </c>
      <c r="H9" s="20">
        <f t="shared" si="1"/>
        <v>1</v>
      </c>
      <c r="I9" s="2"/>
      <c r="J9" s="2"/>
      <c r="K9" s="2"/>
      <c r="L9" s="2"/>
      <c r="M9" s="2"/>
    </row>
    <row r="10" ht="14.25" customHeight="1">
      <c r="A10" s="10" t="s">
        <v>38</v>
      </c>
      <c r="B10" s="18">
        <v>2.0</v>
      </c>
      <c r="C10" s="10">
        <v>2.0</v>
      </c>
      <c r="D10" s="10">
        <v>1.0</v>
      </c>
      <c r="E10" s="10">
        <v>0.0</v>
      </c>
      <c r="F10" s="10">
        <v>0.0</v>
      </c>
      <c r="G10" s="10">
        <v>0.0</v>
      </c>
      <c r="H10" s="20">
        <f t="shared" si="1"/>
        <v>3</v>
      </c>
      <c r="I10" s="2"/>
      <c r="J10" s="2"/>
      <c r="K10" s="2"/>
      <c r="L10" s="2"/>
      <c r="M10" s="2"/>
    </row>
    <row r="11" ht="14.25" customHeight="1">
      <c r="A11" s="10" t="s">
        <v>39</v>
      </c>
      <c r="B11" s="18">
        <v>1.0</v>
      </c>
      <c r="C11" s="10">
        <v>0.0</v>
      </c>
      <c r="D11" s="10">
        <v>0.0</v>
      </c>
      <c r="E11" s="10">
        <v>0.0</v>
      </c>
      <c r="F11" s="10">
        <v>0.0</v>
      </c>
      <c r="G11" s="10">
        <v>1.0</v>
      </c>
      <c r="H11" s="20">
        <f t="shared" si="1"/>
        <v>1</v>
      </c>
      <c r="I11" s="2"/>
      <c r="J11" s="2"/>
      <c r="K11" s="2"/>
      <c r="L11" s="2"/>
      <c r="M11" s="2"/>
    </row>
    <row r="12" ht="14.25" customHeight="1">
      <c r="A12" s="10" t="s">
        <v>40</v>
      </c>
      <c r="B12" s="18">
        <v>3.0</v>
      </c>
      <c r="C12" s="10">
        <v>3.0</v>
      </c>
      <c r="D12" s="10">
        <v>0.0</v>
      </c>
      <c r="E12" s="10">
        <v>0.0</v>
      </c>
      <c r="F12" s="10">
        <v>0.0</v>
      </c>
      <c r="G12" s="10">
        <v>0.0</v>
      </c>
      <c r="H12" s="20">
        <f t="shared" si="1"/>
        <v>3</v>
      </c>
      <c r="I12" s="2"/>
      <c r="J12" s="2"/>
      <c r="K12" s="2"/>
      <c r="L12" s="2"/>
      <c r="M12" s="2"/>
    </row>
    <row r="13" ht="14.25" customHeight="1">
      <c r="A13" s="10" t="s">
        <v>41</v>
      </c>
      <c r="B13" s="18">
        <v>2.0</v>
      </c>
      <c r="C13" s="10">
        <v>0.0</v>
      </c>
      <c r="D13" s="10">
        <v>0.0</v>
      </c>
      <c r="E13" s="10">
        <v>0.0</v>
      </c>
      <c r="F13" s="10">
        <v>1.0</v>
      </c>
      <c r="G13" s="10">
        <v>1.0</v>
      </c>
      <c r="H13" s="20">
        <f t="shared" si="1"/>
        <v>2</v>
      </c>
      <c r="I13" s="2"/>
      <c r="J13" s="2"/>
      <c r="K13" s="2"/>
      <c r="L13" s="2"/>
      <c r="M13" s="2"/>
    </row>
    <row r="14" ht="14.25" customHeight="1">
      <c r="A14" s="10" t="s">
        <v>42</v>
      </c>
      <c r="B14" s="18">
        <v>1.0</v>
      </c>
      <c r="C14" s="10">
        <v>1.0</v>
      </c>
      <c r="D14" s="10">
        <v>0.0</v>
      </c>
      <c r="E14" s="10">
        <v>0.0</v>
      </c>
      <c r="F14" s="10">
        <v>0.0</v>
      </c>
      <c r="G14" s="10">
        <v>0.0</v>
      </c>
      <c r="H14" s="20">
        <f t="shared" si="1"/>
        <v>1</v>
      </c>
      <c r="I14" s="2"/>
      <c r="J14" s="2"/>
      <c r="K14" s="2"/>
      <c r="L14" s="2"/>
      <c r="M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14.25" customHeight="1">
      <c r="A16" s="2"/>
      <c r="B16" s="3">
        <f>SUM(B5:B15)</f>
        <v>19</v>
      </c>
      <c r="C16" s="3">
        <f>B16</f>
        <v>19</v>
      </c>
      <c r="D16" s="3">
        <f t="shared" ref="D16:G16" si="2">C16-SUM(C5:C14)</f>
        <v>10</v>
      </c>
      <c r="E16" s="3">
        <f t="shared" si="2"/>
        <v>6</v>
      </c>
      <c r="F16" s="3">
        <f t="shared" si="2"/>
        <v>4</v>
      </c>
      <c r="G16" s="3">
        <f t="shared" si="2"/>
        <v>3</v>
      </c>
      <c r="H16" s="2"/>
      <c r="I16" s="2"/>
      <c r="J16" s="2"/>
      <c r="K16" s="2"/>
      <c r="L16" s="2"/>
      <c r="M16" s="2"/>
    </row>
    <row r="17" ht="14.25" customHeight="1">
      <c r="A17" s="21" t="s">
        <v>19</v>
      </c>
      <c r="B17" s="2">
        <f t="shared" ref="B17:F17" si="3">C16</f>
        <v>19</v>
      </c>
      <c r="C17" s="2">
        <f t="shared" si="3"/>
        <v>10</v>
      </c>
      <c r="D17" s="2">
        <f t="shared" si="3"/>
        <v>6</v>
      </c>
      <c r="E17" s="2">
        <f t="shared" si="3"/>
        <v>4</v>
      </c>
      <c r="F17" s="2">
        <f t="shared" si="3"/>
        <v>3</v>
      </c>
      <c r="G17" s="2" t="str">
        <f>#REF!</f>
        <v>#REF!</v>
      </c>
      <c r="H17" s="2"/>
      <c r="I17" s="2"/>
      <c r="J17" s="2"/>
      <c r="K17" s="2"/>
      <c r="L17" s="2"/>
      <c r="M17" s="2"/>
    </row>
    <row r="18" ht="14.25" customHeight="1">
      <c r="A18" s="2"/>
      <c r="B18" s="3">
        <f>SUM(B5:B14)</f>
        <v>19</v>
      </c>
      <c r="C18" s="3">
        <f>SUM(B5:B14)</f>
        <v>19</v>
      </c>
      <c r="D18" s="3">
        <f t="shared" ref="D18:G18" si="4">C18-(SUM($B$5:$B$14)/5)</f>
        <v>15.2</v>
      </c>
      <c r="E18" s="3">
        <f t="shared" si="4"/>
        <v>11.4</v>
      </c>
      <c r="F18" s="3">
        <f t="shared" si="4"/>
        <v>7.6</v>
      </c>
      <c r="G18" s="3">
        <f t="shared" si="4"/>
        <v>3.8</v>
      </c>
      <c r="H18" s="3"/>
      <c r="I18" s="2"/>
      <c r="J18" s="2"/>
      <c r="K18" s="2"/>
      <c r="L18" s="2"/>
      <c r="M18" s="2"/>
    </row>
    <row r="19" ht="14.25" customHeight="1">
      <c r="A19" s="21" t="s">
        <v>20</v>
      </c>
      <c r="B19" s="2">
        <f>B18</f>
        <v>19</v>
      </c>
      <c r="C19" s="2">
        <f t="shared" ref="C19:F19" si="5">D18</f>
        <v>15.2</v>
      </c>
      <c r="D19" s="2">
        <f t="shared" si="5"/>
        <v>11.4</v>
      </c>
      <c r="E19" s="2">
        <f t="shared" si="5"/>
        <v>7.6</v>
      </c>
      <c r="F19" s="2">
        <f t="shared" si="5"/>
        <v>3.8</v>
      </c>
      <c r="G19" s="2" t="str">
        <f>#REF!</f>
        <v>#REF!</v>
      </c>
      <c r="H19" s="2"/>
      <c r="I19" s="2"/>
      <c r="J19" s="2"/>
      <c r="K19" s="2"/>
      <c r="L19" s="2"/>
      <c r="M19" s="2"/>
    </row>
    <row r="20" ht="14.25" customHeight="1">
      <c r="A20" s="2"/>
      <c r="B20" s="1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4.25" customHeight="1">
      <c r="A21" s="2"/>
      <c r="B21" s="15"/>
      <c r="C21" s="2"/>
      <c r="D21" s="2"/>
      <c r="E21" s="2"/>
      <c r="F21" s="2"/>
      <c r="G21" s="15"/>
      <c r="H21" s="2"/>
      <c r="I21" s="2"/>
      <c r="J21" s="2"/>
      <c r="K21" s="2"/>
      <c r="L21" s="2"/>
      <c r="M21" s="2"/>
    </row>
    <row r="22" ht="14.25" customHeight="1">
      <c r="A22" s="2"/>
      <c r="B22" s="15"/>
      <c r="C22" s="2"/>
      <c r="D22" s="2"/>
      <c r="E22" s="2"/>
      <c r="F22" s="2"/>
      <c r="G22" s="15"/>
      <c r="H22" s="2"/>
      <c r="I22" s="2"/>
      <c r="J22" s="2"/>
      <c r="K22" s="2"/>
      <c r="L22" s="2"/>
      <c r="M22" s="2"/>
    </row>
    <row r="23" ht="14.25" customHeight="1">
      <c r="A23" s="2"/>
      <c r="B23" s="15"/>
      <c r="C23" s="2"/>
      <c r="D23" s="2"/>
      <c r="E23" s="2"/>
      <c r="F23" s="2"/>
      <c r="G23" s="15"/>
      <c r="H23" s="2"/>
      <c r="I23" s="2"/>
      <c r="J23" s="2"/>
      <c r="K23" s="2"/>
      <c r="L23" s="2"/>
      <c r="M23" s="2"/>
    </row>
    <row r="24" ht="14.25" customHeight="1">
      <c r="A24" s="2"/>
      <c r="B24" s="15"/>
      <c r="C24" s="2"/>
      <c r="D24" s="2"/>
      <c r="E24" s="2"/>
      <c r="F24" s="2"/>
      <c r="G24" s="15"/>
      <c r="H24" s="2"/>
      <c r="I24" s="2"/>
      <c r="J24" s="2"/>
      <c r="K24" s="2"/>
      <c r="L24" s="2"/>
      <c r="M24" s="2"/>
    </row>
    <row r="25" ht="14.25" customHeight="1">
      <c r="A25" s="2"/>
      <c r="B25" s="15"/>
      <c r="C25" s="2"/>
      <c r="D25" s="2"/>
      <c r="E25" s="2"/>
      <c r="F25" s="2"/>
      <c r="G25" s="15"/>
    </row>
    <row r="26" ht="14.25" customHeight="1">
      <c r="A26" s="2"/>
      <c r="B26" s="15"/>
      <c r="C26" s="2"/>
      <c r="D26" s="2"/>
      <c r="E26" s="2"/>
      <c r="F26" s="2"/>
      <c r="G26" s="15"/>
    </row>
    <row r="27" ht="14.25" customHeight="1">
      <c r="A27" s="2"/>
      <c r="B27" s="15"/>
      <c r="C27" s="2"/>
      <c r="D27" s="2"/>
      <c r="E27" s="2"/>
      <c r="F27" s="2"/>
      <c r="G27" s="2"/>
    </row>
    <row r="28" ht="14.25" customHeight="1">
      <c r="A28" s="2"/>
      <c r="B28" s="15"/>
      <c r="C28" s="2"/>
      <c r="D28" s="2"/>
      <c r="E28" s="2"/>
      <c r="F28" s="2"/>
      <c r="G28" s="2"/>
    </row>
    <row r="29" ht="14.25" customHeight="1">
      <c r="A29" s="2"/>
      <c r="B29" s="15"/>
      <c r="C29" s="2"/>
      <c r="D29" s="2"/>
      <c r="E29" s="2"/>
      <c r="F29" s="2"/>
      <c r="G29" s="2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4">
    <mergeCell ref="A3:A4"/>
    <mergeCell ref="B3:B4"/>
    <mergeCell ref="C3:G3"/>
    <mergeCell ref="H3:H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7" width="4.57"/>
    <col customWidth="1" min="8" max="25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2"/>
      <c r="I2" s="2"/>
      <c r="J2" s="2"/>
      <c r="K2" s="2"/>
      <c r="L2" s="2"/>
      <c r="M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7"/>
      <c r="H3" s="4" t="s">
        <v>5</v>
      </c>
      <c r="I3" s="2"/>
      <c r="J3" s="2"/>
      <c r="K3" s="2"/>
      <c r="L3" s="2"/>
      <c r="M3" s="2"/>
    </row>
    <row r="4" ht="14.25" customHeight="1">
      <c r="A4" s="8"/>
      <c r="B4" s="8"/>
      <c r="C4" s="16">
        <v>1.0</v>
      </c>
      <c r="D4" s="16">
        <v>2.0</v>
      </c>
      <c r="E4" s="16">
        <v>3.0</v>
      </c>
      <c r="F4" s="16">
        <v>4.0</v>
      </c>
      <c r="G4" s="16">
        <v>5.0</v>
      </c>
      <c r="H4" s="17"/>
      <c r="I4" s="2"/>
      <c r="J4" s="2"/>
      <c r="K4" s="2"/>
      <c r="L4" s="2"/>
      <c r="M4" s="2"/>
    </row>
    <row r="5" ht="14.25" customHeight="1">
      <c r="A5" s="10" t="s">
        <v>43</v>
      </c>
      <c r="B5" s="18">
        <v>3.0</v>
      </c>
      <c r="C5" s="10">
        <v>1.0</v>
      </c>
      <c r="D5" s="10">
        <v>0.0</v>
      </c>
      <c r="E5" s="10">
        <v>1.0</v>
      </c>
      <c r="F5" s="10">
        <v>0.0</v>
      </c>
      <c r="G5" s="10">
        <v>1.0</v>
      </c>
      <c r="H5" s="19">
        <f t="shared" ref="H5:H10" si="1">SUM(C5:G5)</f>
        <v>3</v>
      </c>
      <c r="I5" s="2"/>
      <c r="J5" s="2"/>
      <c r="K5" s="2"/>
      <c r="L5" s="2"/>
      <c r="M5" s="2"/>
    </row>
    <row r="6" ht="14.25" customHeight="1">
      <c r="A6" s="10" t="s">
        <v>44</v>
      </c>
      <c r="B6" s="18">
        <v>4.0</v>
      </c>
      <c r="C6" s="10">
        <v>1.0</v>
      </c>
      <c r="D6" s="10">
        <v>0.0</v>
      </c>
      <c r="E6" s="10">
        <v>2.0</v>
      </c>
      <c r="F6" s="10">
        <v>0.0</v>
      </c>
      <c r="G6" s="10">
        <v>1.0</v>
      </c>
      <c r="H6" s="20">
        <f t="shared" si="1"/>
        <v>4</v>
      </c>
      <c r="I6" s="2"/>
      <c r="J6" s="2"/>
      <c r="K6" s="2"/>
      <c r="L6" s="2"/>
      <c r="M6" s="2"/>
    </row>
    <row r="7" ht="14.25" customHeight="1">
      <c r="A7" s="10" t="s">
        <v>45</v>
      </c>
      <c r="B7" s="18">
        <v>3.0</v>
      </c>
      <c r="C7" s="10">
        <v>2.0</v>
      </c>
      <c r="D7" s="10">
        <v>0.0</v>
      </c>
      <c r="E7" s="10">
        <v>1.0</v>
      </c>
      <c r="F7" s="10">
        <v>0.0</v>
      </c>
      <c r="G7" s="10">
        <v>1.0</v>
      </c>
      <c r="H7" s="20">
        <f t="shared" si="1"/>
        <v>4</v>
      </c>
      <c r="I7" s="2"/>
      <c r="J7" s="2"/>
      <c r="K7" s="2"/>
      <c r="L7" s="2"/>
      <c r="M7" s="2"/>
    </row>
    <row r="8" ht="14.25" customHeight="1">
      <c r="A8" s="10" t="s">
        <v>46</v>
      </c>
      <c r="B8" s="18">
        <v>2.0</v>
      </c>
      <c r="C8" s="10">
        <v>0.0</v>
      </c>
      <c r="D8" s="10">
        <v>0.0</v>
      </c>
      <c r="E8" s="10">
        <v>0.0</v>
      </c>
      <c r="F8" s="10">
        <v>1.0</v>
      </c>
      <c r="G8" s="10">
        <v>1.0</v>
      </c>
      <c r="H8" s="20">
        <f t="shared" si="1"/>
        <v>2</v>
      </c>
      <c r="I8" s="2"/>
      <c r="J8" s="2"/>
      <c r="K8" s="2"/>
      <c r="L8" s="2"/>
      <c r="M8" s="2"/>
    </row>
    <row r="9" ht="14.25" customHeight="1">
      <c r="A9" s="10" t="s">
        <v>47</v>
      </c>
      <c r="B9" s="18">
        <v>3.0</v>
      </c>
      <c r="C9" s="10">
        <v>4.0</v>
      </c>
      <c r="D9" s="10">
        <v>0.0</v>
      </c>
      <c r="E9" s="10">
        <v>0.0</v>
      </c>
      <c r="F9" s="10">
        <v>0.0</v>
      </c>
      <c r="G9" s="10">
        <v>0.0</v>
      </c>
      <c r="H9" s="20">
        <f t="shared" si="1"/>
        <v>4</v>
      </c>
      <c r="I9" s="2"/>
      <c r="J9" s="2"/>
      <c r="K9" s="2"/>
      <c r="L9" s="2"/>
      <c r="M9" s="2"/>
    </row>
    <row r="10" ht="14.25" customHeight="1">
      <c r="A10" s="10" t="s">
        <v>48</v>
      </c>
      <c r="B10" s="18">
        <v>2.0</v>
      </c>
      <c r="C10" s="10">
        <v>2.0</v>
      </c>
      <c r="D10" s="10">
        <v>0.0</v>
      </c>
      <c r="E10" s="10">
        <v>0.0</v>
      </c>
      <c r="F10" s="10">
        <v>0.0</v>
      </c>
      <c r="G10" s="10">
        <v>0.0</v>
      </c>
      <c r="H10" s="20">
        <f t="shared" si="1"/>
        <v>2</v>
      </c>
      <c r="I10" s="2"/>
      <c r="J10" s="2"/>
      <c r="K10" s="2"/>
      <c r="L10" s="2"/>
      <c r="M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4.25" customHeight="1">
      <c r="A12" s="2"/>
      <c r="B12" s="3">
        <f>SUM(B5:B11)</f>
        <v>17</v>
      </c>
      <c r="C12" s="3">
        <f>B12</f>
        <v>17</v>
      </c>
      <c r="D12" s="3">
        <f t="shared" ref="D12:G12" si="2">C12-SUM(C5:C10)</f>
        <v>7</v>
      </c>
      <c r="E12" s="3">
        <f t="shared" si="2"/>
        <v>7</v>
      </c>
      <c r="F12" s="3">
        <f t="shared" si="2"/>
        <v>3</v>
      </c>
      <c r="G12" s="3">
        <f t="shared" si="2"/>
        <v>2</v>
      </c>
      <c r="H12" s="2"/>
      <c r="I12" s="2"/>
      <c r="J12" s="2"/>
      <c r="K12" s="2"/>
      <c r="L12" s="2"/>
      <c r="M12" s="2"/>
    </row>
    <row r="13" ht="14.25" customHeight="1">
      <c r="A13" s="21" t="s">
        <v>19</v>
      </c>
      <c r="B13" s="2">
        <f t="shared" ref="B13:F13" si="3">C12</f>
        <v>17</v>
      </c>
      <c r="C13" s="2">
        <f t="shared" si="3"/>
        <v>7</v>
      </c>
      <c r="D13" s="2">
        <f t="shared" si="3"/>
        <v>7</v>
      </c>
      <c r="E13" s="2">
        <f t="shared" si="3"/>
        <v>3</v>
      </c>
      <c r="F13" s="2">
        <f t="shared" si="3"/>
        <v>2</v>
      </c>
      <c r="G13" s="2" t="str">
        <f>#REF!</f>
        <v>#REF!</v>
      </c>
      <c r="H13" s="2"/>
      <c r="I13" s="2"/>
      <c r="J13" s="2"/>
      <c r="K13" s="2"/>
      <c r="L13" s="2"/>
      <c r="M13" s="2"/>
    </row>
    <row r="14" ht="14.25" customHeight="1">
      <c r="A14" s="2"/>
      <c r="B14" s="3">
        <f>SUM(B5:B10)</f>
        <v>17</v>
      </c>
      <c r="C14" s="3">
        <f>SUM(B5:B10)</f>
        <v>17</v>
      </c>
      <c r="D14" s="3">
        <f t="shared" ref="D14:G14" si="4">C14-(SUM($B$5:$B$10)/5)</f>
        <v>13.6</v>
      </c>
      <c r="E14" s="3">
        <f t="shared" si="4"/>
        <v>10.2</v>
      </c>
      <c r="F14" s="3">
        <f t="shared" si="4"/>
        <v>6.8</v>
      </c>
      <c r="G14" s="3">
        <f t="shared" si="4"/>
        <v>3.4</v>
      </c>
      <c r="H14" s="3"/>
      <c r="I14" s="2"/>
      <c r="J14" s="2"/>
      <c r="K14" s="2"/>
      <c r="L14" s="2"/>
      <c r="M14" s="2"/>
    </row>
    <row r="15" ht="14.25" customHeight="1">
      <c r="A15" s="21" t="s">
        <v>20</v>
      </c>
      <c r="B15" s="2">
        <f>B14</f>
        <v>17</v>
      </c>
      <c r="C15" s="2">
        <f t="shared" ref="C15:F15" si="5">D14</f>
        <v>13.6</v>
      </c>
      <c r="D15" s="2">
        <f t="shared" si="5"/>
        <v>10.2</v>
      </c>
      <c r="E15" s="2">
        <f t="shared" si="5"/>
        <v>6.8</v>
      </c>
      <c r="F15" s="2">
        <f t="shared" si="5"/>
        <v>3.4</v>
      </c>
      <c r="G15" s="2" t="str">
        <f>#REF!</f>
        <v>#REF!</v>
      </c>
      <c r="H15" s="2"/>
      <c r="I15" s="2"/>
      <c r="J15" s="2"/>
      <c r="K15" s="2"/>
      <c r="L15" s="2"/>
      <c r="M15" s="2"/>
    </row>
    <row r="16" ht="14.25" customHeight="1">
      <c r="A16" s="2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4.25" customHeight="1">
      <c r="A17" s="2"/>
      <c r="B17" s="15"/>
      <c r="C17" s="2"/>
      <c r="D17" s="2"/>
      <c r="E17" s="2"/>
      <c r="F17" s="2"/>
      <c r="G17" s="15"/>
      <c r="H17" s="2"/>
      <c r="I17" s="2"/>
      <c r="J17" s="2"/>
      <c r="K17" s="2"/>
      <c r="L17" s="2"/>
      <c r="M17" s="2"/>
    </row>
    <row r="18" ht="14.25" customHeight="1">
      <c r="A18" s="2"/>
      <c r="B18" s="15"/>
      <c r="C18" s="2"/>
      <c r="D18" s="2"/>
      <c r="E18" s="2"/>
      <c r="F18" s="2"/>
      <c r="G18" s="15"/>
      <c r="H18" s="2"/>
      <c r="I18" s="2"/>
      <c r="J18" s="2"/>
      <c r="K18" s="2"/>
      <c r="L18" s="2"/>
      <c r="M18" s="2"/>
    </row>
    <row r="19" ht="14.25" customHeight="1">
      <c r="A19" s="2"/>
      <c r="B19" s="15"/>
      <c r="C19" s="2"/>
      <c r="D19" s="2"/>
      <c r="E19" s="2"/>
      <c r="F19" s="2"/>
      <c r="G19" s="15"/>
      <c r="H19" s="2"/>
      <c r="I19" s="2"/>
      <c r="J19" s="2"/>
      <c r="K19" s="2"/>
      <c r="L19" s="2"/>
      <c r="M19" s="2"/>
    </row>
    <row r="20" ht="14.25" customHeight="1">
      <c r="A20" s="2"/>
      <c r="B20" s="15"/>
      <c r="C20" s="2"/>
      <c r="D20" s="2"/>
      <c r="E20" s="2"/>
      <c r="F20" s="2"/>
      <c r="G20" s="15"/>
      <c r="H20" s="2"/>
      <c r="I20" s="2"/>
      <c r="J20" s="2"/>
      <c r="K20" s="2"/>
      <c r="L20" s="2"/>
      <c r="M20" s="2"/>
    </row>
    <row r="21" ht="14.25" customHeight="1">
      <c r="A21" s="2"/>
      <c r="B21" s="15"/>
      <c r="C21" s="2"/>
      <c r="D21" s="2"/>
      <c r="E21" s="2"/>
      <c r="F21" s="2"/>
      <c r="G21" s="15"/>
    </row>
    <row r="22" ht="14.25" customHeight="1">
      <c r="A22" s="2"/>
      <c r="B22" s="15"/>
      <c r="C22" s="2"/>
      <c r="D22" s="2"/>
      <c r="E22" s="2"/>
      <c r="F22" s="2"/>
      <c r="G22" s="15"/>
    </row>
    <row r="23" ht="14.25" customHeight="1">
      <c r="A23" s="2"/>
      <c r="B23" s="15"/>
      <c r="C23" s="2"/>
      <c r="D23" s="2"/>
      <c r="E23" s="2"/>
      <c r="F23" s="2"/>
      <c r="G23" s="2"/>
    </row>
    <row r="24" ht="14.25" customHeight="1">
      <c r="A24" s="2"/>
      <c r="B24" s="15"/>
      <c r="C24" s="2"/>
      <c r="D24" s="2"/>
      <c r="E24" s="2"/>
      <c r="F24" s="2"/>
      <c r="G24" s="2"/>
    </row>
    <row r="25" ht="14.25" customHeight="1">
      <c r="A25" s="2"/>
      <c r="B25" s="15"/>
      <c r="C25" s="2"/>
      <c r="D25" s="2"/>
      <c r="E25" s="2"/>
      <c r="F25" s="2"/>
      <c r="G25" s="2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mergeCells count="4">
    <mergeCell ref="A3:A4"/>
    <mergeCell ref="B3:B4"/>
    <mergeCell ref="C3:G3"/>
    <mergeCell ref="H3:H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7" width="4.57"/>
    <col customWidth="1" min="8" max="25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2"/>
      <c r="I2" s="2"/>
      <c r="J2" s="2"/>
      <c r="K2" s="2"/>
      <c r="L2" s="2"/>
      <c r="M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7"/>
      <c r="H3" s="4" t="s">
        <v>5</v>
      </c>
      <c r="I3" s="2"/>
      <c r="J3" s="2"/>
      <c r="K3" s="2"/>
      <c r="L3" s="2"/>
      <c r="M3" s="2"/>
    </row>
    <row r="4" ht="14.25" customHeight="1">
      <c r="A4" s="8"/>
      <c r="B4" s="8"/>
      <c r="C4" s="16">
        <v>1.0</v>
      </c>
      <c r="D4" s="16">
        <v>2.0</v>
      </c>
      <c r="E4" s="16">
        <v>3.0</v>
      </c>
      <c r="F4" s="16">
        <v>4.0</v>
      </c>
      <c r="G4" s="16">
        <v>5.0</v>
      </c>
      <c r="H4" s="17"/>
      <c r="I4" s="2"/>
      <c r="J4" s="2"/>
      <c r="K4" s="2"/>
      <c r="L4" s="2"/>
      <c r="M4" s="2"/>
    </row>
    <row r="5" ht="14.25" customHeight="1">
      <c r="A5" s="10" t="s">
        <v>49</v>
      </c>
      <c r="B5" s="18">
        <v>3.0</v>
      </c>
      <c r="C5" s="10">
        <v>1.0</v>
      </c>
      <c r="D5" s="10">
        <v>0.0</v>
      </c>
      <c r="E5" s="10">
        <v>0.0</v>
      </c>
      <c r="F5" s="10">
        <v>1.0</v>
      </c>
      <c r="G5" s="10">
        <v>1.0</v>
      </c>
      <c r="H5" s="19">
        <f t="shared" ref="H5:H12" si="1">SUM(C5:G5)</f>
        <v>3</v>
      </c>
      <c r="I5" s="2"/>
      <c r="J5" s="2"/>
      <c r="K5" s="2"/>
      <c r="L5" s="2"/>
      <c r="M5" s="2"/>
    </row>
    <row r="6" ht="14.25" customHeight="1">
      <c r="A6" s="10" t="s">
        <v>50</v>
      </c>
      <c r="B6" s="18">
        <v>2.0</v>
      </c>
      <c r="C6" s="10">
        <v>1.0</v>
      </c>
      <c r="D6" s="10">
        <v>0.0</v>
      </c>
      <c r="E6" s="10">
        <v>0.0</v>
      </c>
      <c r="F6" s="10">
        <v>1.0</v>
      </c>
      <c r="G6" s="10">
        <v>0.0</v>
      </c>
      <c r="H6" s="20">
        <f t="shared" si="1"/>
        <v>2</v>
      </c>
      <c r="I6" s="2"/>
      <c r="J6" s="2"/>
      <c r="K6" s="2"/>
      <c r="L6" s="2"/>
      <c r="M6" s="2"/>
    </row>
    <row r="7" ht="14.25" customHeight="1">
      <c r="A7" s="10" t="s">
        <v>51</v>
      </c>
      <c r="B7" s="18">
        <v>3.0</v>
      </c>
      <c r="C7" s="10">
        <v>1.0</v>
      </c>
      <c r="D7" s="10">
        <v>0.0</v>
      </c>
      <c r="E7" s="10">
        <v>2.0</v>
      </c>
      <c r="F7" s="10">
        <v>0.0</v>
      </c>
      <c r="G7" s="10">
        <v>0.0</v>
      </c>
      <c r="H7" s="20">
        <f t="shared" si="1"/>
        <v>3</v>
      </c>
      <c r="I7" s="2"/>
      <c r="J7" s="2"/>
      <c r="K7" s="2"/>
      <c r="L7" s="2"/>
      <c r="M7" s="2"/>
    </row>
    <row r="8" ht="14.25" customHeight="1">
      <c r="A8" s="10" t="s">
        <v>52</v>
      </c>
      <c r="B8" s="18">
        <v>2.0</v>
      </c>
      <c r="C8" s="10">
        <v>1.0</v>
      </c>
      <c r="D8" s="10">
        <v>0.0</v>
      </c>
      <c r="E8" s="10">
        <v>2.0</v>
      </c>
      <c r="F8" s="10">
        <v>0.0</v>
      </c>
      <c r="G8" s="10">
        <v>0.0</v>
      </c>
      <c r="H8" s="20">
        <f t="shared" si="1"/>
        <v>3</v>
      </c>
      <c r="I8" s="2"/>
      <c r="J8" s="2"/>
      <c r="K8" s="2"/>
      <c r="L8" s="2"/>
      <c r="M8" s="2"/>
    </row>
    <row r="9" ht="14.25" customHeight="1">
      <c r="A9" s="10" t="s">
        <v>53</v>
      </c>
      <c r="B9" s="18">
        <v>3.0</v>
      </c>
      <c r="C9" s="10">
        <v>0.0</v>
      </c>
      <c r="D9" s="10">
        <v>0.0</v>
      </c>
      <c r="E9" s="10">
        <v>1.0</v>
      </c>
      <c r="F9" s="10">
        <v>1.0</v>
      </c>
      <c r="G9" s="10">
        <v>1.0</v>
      </c>
      <c r="H9" s="20">
        <f t="shared" si="1"/>
        <v>3</v>
      </c>
      <c r="I9" s="2"/>
      <c r="J9" s="2"/>
      <c r="K9" s="2"/>
      <c r="L9" s="2"/>
      <c r="M9" s="2"/>
    </row>
    <row r="10" ht="14.25" customHeight="1">
      <c r="A10" s="10" t="s">
        <v>54</v>
      </c>
      <c r="B10" s="18">
        <v>2.0</v>
      </c>
      <c r="C10" s="10">
        <v>1.0</v>
      </c>
      <c r="D10" s="10">
        <v>2.0</v>
      </c>
      <c r="E10" s="10">
        <v>0.0</v>
      </c>
      <c r="F10" s="10">
        <v>0.0</v>
      </c>
      <c r="G10" s="10">
        <v>0.0</v>
      </c>
      <c r="H10" s="20">
        <f t="shared" si="1"/>
        <v>3</v>
      </c>
      <c r="I10" s="2"/>
      <c r="J10" s="2"/>
      <c r="K10" s="2"/>
      <c r="L10" s="2"/>
      <c r="M10" s="2"/>
    </row>
    <row r="11" ht="14.25" customHeight="1">
      <c r="A11" s="10" t="s">
        <v>55</v>
      </c>
      <c r="B11" s="18">
        <v>3.0</v>
      </c>
      <c r="C11" s="10">
        <v>0.0</v>
      </c>
      <c r="D11" s="10">
        <v>0.0</v>
      </c>
      <c r="E11" s="10">
        <v>0.0</v>
      </c>
      <c r="F11" s="10">
        <v>0.0</v>
      </c>
      <c r="G11" s="10">
        <v>3.0</v>
      </c>
      <c r="H11" s="20">
        <f t="shared" si="1"/>
        <v>3</v>
      </c>
      <c r="I11" s="2"/>
      <c r="J11" s="2"/>
      <c r="K11" s="2"/>
      <c r="L11" s="2"/>
      <c r="M11" s="2"/>
    </row>
    <row r="12" ht="14.25" customHeight="1">
      <c r="A12" s="10" t="s">
        <v>56</v>
      </c>
      <c r="B12" s="18">
        <v>2.0</v>
      </c>
      <c r="C12" s="10">
        <v>1.0</v>
      </c>
      <c r="D12" s="10">
        <v>1.0</v>
      </c>
      <c r="E12" s="10">
        <v>0.0</v>
      </c>
      <c r="F12" s="10">
        <v>0.0</v>
      </c>
      <c r="G12" s="10">
        <v>0.0</v>
      </c>
      <c r="H12" s="20">
        <f t="shared" si="1"/>
        <v>2</v>
      </c>
      <c r="I12" s="2"/>
      <c r="J12" s="2"/>
      <c r="K12" s="2"/>
      <c r="L12" s="2"/>
      <c r="M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4.25" customHeight="1">
      <c r="A14" s="2"/>
      <c r="B14" s="3">
        <f>SUM(B5:B13)</f>
        <v>20</v>
      </c>
      <c r="C14" s="3">
        <f>B14</f>
        <v>20</v>
      </c>
      <c r="D14" s="3">
        <f t="shared" ref="D14:G14" si="2">C14-SUM(C5:C12)</f>
        <v>14</v>
      </c>
      <c r="E14" s="3">
        <f t="shared" si="2"/>
        <v>11</v>
      </c>
      <c r="F14" s="3">
        <f t="shared" si="2"/>
        <v>6</v>
      </c>
      <c r="G14" s="3">
        <f t="shared" si="2"/>
        <v>3</v>
      </c>
      <c r="H14" s="2"/>
      <c r="I14" s="2"/>
      <c r="J14" s="2"/>
      <c r="K14" s="2"/>
      <c r="L14" s="2"/>
      <c r="M14" s="2"/>
    </row>
    <row r="15" ht="14.25" customHeight="1">
      <c r="A15" s="21" t="s">
        <v>19</v>
      </c>
      <c r="B15" s="2">
        <f t="shared" ref="B15:F15" si="3">C14</f>
        <v>20</v>
      </c>
      <c r="C15" s="2">
        <f t="shared" si="3"/>
        <v>14</v>
      </c>
      <c r="D15" s="2">
        <f t="shared" si="3"/>
        <v>11</v>
      </c>
      <c r="E15" s="2">
        <f t="shared" si="3"/>
        <v>6</v>
      </c>
      <c r="F15" s="2">
        <f t="shared" si="3"/>
        <v>3</v>
      </c>
      <c r="G15" s="2" t="str">
        <f>#REF!</f>
        <v>#REF!</v>
      </c>
      <c r="H15" s="2"/>
      <c r="I15" s="2"/>
      <c r="J15" s="2"/>
      <c r="K15" s="2"/>
      <c r="L15" s="2"/>
      <c r="M15" s="2"/>
    </row>
    <row r="16" ht="14.25" customHeight="1">
      <c r="A16" s="2"/>
      <c r="B16" s="3">
        <f>SUM(B5:B12)</f>
        <v>20</v>
      </c>
      <c r="C16" s="3">
        <f>SUM(B5:B12)</f>
        <v>20</v>
      </c>
      <c r="D16" s="3">
        <f t="shared" ref="D16:G16" si="4">C16-(SUM($B$5:$B$12)/5)</f>
        <v>16</v>
      </c>
      <c r="E16" s="3">
        <f t="shared" si="4"/>
        <v>12</v>
      </c>
      <c r="F16" s="3">
        <f t="shared" si="4"/>
        <v>8</v>
      </c>
      <c r="G16" s="3">
        <f t="shared" si="4"/>
        <v>4</v>
      </c>
      <c r="H16" s="3"/>
      <c r="I16" s="2"/>
      <c r="J16" s="2"/>
      <c r="K16" s="2"/>
      <c r="L16" s="2"/>
      <c r="M16" s="2"/>
    </row>
    <row r="17" ht="14.25" customHeight="1">
      <c r="A17" s="21" t="s">
        <v>20</v>
      </c>
      <c r="B17" s="2">
        <f>B16</f>
        <v>20</v>
      </c>
      <c r="C17" s="2">
        <f t="shared" ref="C17:F17" si="5">D16</f>
        <v>16</v>
      </c>
      <c r="D17" s="2">
        <f t="shared" si="5"/>
        <v>12</v>
      </c>
      <c r="E17" s="2">
        <f t="shared" si="5"/>
        <v>8</v>
      </c>
      <c r="F17" s="2">
        <f t="shared" si="5"/>
        <v>4</v>
      </c>
      <c r="G17" s="2" t="str">
        <f>#REF!</f>
        <v>#REF!</v>
      </c>
      <c r="H17" s="2"/>
      <c r="I17" s="2"/>
      <c r="J17" s="2"/>
      <c r="K17" s="2"/>
      <c r="L17" s="2"/>
      <c r="M17" s="2"/>
    </row>
    <row r="18" ht="14.25" customHeight="1">
      <c r="A18" s="2"/>
      <c r="B18" s="1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14.25" customHeight="1">
      <c r="A19" s="2"/>
      <c r="B19" s="15"/>
      <c r="C19" s="2"/>
      <c r="D19" s="2"/>
      <c r="E19" s="2"/>
      <c r="F19" s="2"/>
      <c r="G19" s="15"/>
      <c r="H19" s="2"/>
      <c r="I19" s="2"/>
      <c r="J19" s="2"/>
      <c r="K19" s="2"/>
      <c r="L19" s="2"/>
      <c r="M19" s="2"/>
    </row>
    <row r="20" ht="14.25" customHeight="1">
      <c r="A20" s="2"/>
      <c r="B20" s="15"/>
      <c r="C20" s="2"/>
      <c r="D20" s="2"/>
      <c r="E20" s="2"/>
      <c r="F20" s="2"/>
      <c r="G20" s="15"/>
      <c r="H20" s="2"/>
      <c r="I20" s="2"/>
      <c r="J20" s="2"/>
      <c r="K20" s="2"/>
      <c r="L20" s="2"/>
      <c r="M20" s="2"/>
    </row>
    <row r="21" ht="14.25" customHeight="1">
      <c r="A21" s="2"/>
      <c r="B21" s="15"/>
      <c r="C21" s="2"/>
      <c r="D21" s="2"/>
      <c r="E21" s="2"/>
      <c r="F21" s="2"/>
      <c r="G21" s="15"/>
      <c r="H21" s="2"/>
      <c r="I21" s="2"/>
      <c r="J21" s="2"/>
      <c r="K21" s="2"/>
      <c r="L21" s="2"/>
      <c r="M21" s="2"/>
    </row>
    <row r="22" ht="14.25" customHeight="1">
      <c r="A22" s="2"/>
      <c r="B22" s="15"/>
      <c r="C22" s="2"/>
      <c r="D22" s="2"/>
      <c r="E22" s="2"/>
      <c r="F22" s="2"/>
      <c r="G22" s="15"/>
      <c r="H22" s="2"/>
      <c r="I22" s="2"/>
      <c r="J22" s="2"/>
      <c r="K22" s="2"/>
      <c r="L22" s="2"/>
      <c r="M22" s="2"/>
    </row>
    <row r="23" ht="14.25" customHeight="1">
      <c r="A23" s="2"/>
      <c r="B23" s="15"/>
      <c r="C23" s="2"/>
      <c r="D23" s="2"/>
      <c r="E23" s="2"/>
      <c r="F23" s="2"/>
      <c r="G23" s="15"/>
    </row>
    <row r="24" ht="14.25" customHeight="1">
      <c r="A24" s="2"/>
      <c r="B24" s="15"/>
      <c r="C24" s="2"/>
      <c r="D24" s="2"/>
      <c r="E24" s="2"/>
      <c r="F24" s="2"/>
      <c r="G24" s="15"/>
    </row>
    <row r="25" ht="14.25" customHeight="1">
      <c r="A25" s="2"/>
      <c r="B25" s="15"/>
      <c r="C25" s="2"/>
      <c r="D25" s="2"/>
      <c r="E25" s="2"/>
      <c r="F25" s="2"/>
      <c r="G25" s="2"/>
    </row>
    <row r="26" ht="14.25" customHeight="1">
      <c r="A26" s="2"/>
      <c r="B26" s="15"/>
      <c r="C26" s="2"/>
      <c r="D26" s="2"/>
      <c r="E26" s="2"/>
      <c r="F26" s="2"/>
      <c r="G26" s="2"/>
    </row>
    <row r="27" ht="14.25" customHeight="1">
      <c r="A27" s="2"/>
      <c r="B27" s="15"/>
      <c r="C27" s="2"/>
      <c r="D27" s="2"/>
      <c r="E27" s="2"/>
      <c r="F27" s="2"/>
      <c r="G27" s="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4">
    <mergeCell ref="A3:A4"/>
    <mergeCell ref="B3:B4"/>
    <mergeCell ref="C3:G3"/>
    <mergeCell ref="H3:H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7" width="4.57"/>
    <col customWidth="1" min="8" max="25" width="10.71"/>
  </cols>
  <sheetData>
    <row r="1" ht="14.25" customHeight="1">
      <c r="A1" s="22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2"/>
      <c r="I2" s="2"/>
      <c r="J2" s="2"/>
      <c r="K2" s="2"/>
      <c r="L2" s="2"/>
      <c r="M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7"/>
      <c r="H3" s="4" t="s">
        <v>5</v>
      </c>
      <c r="I3" s="2"/>
      <c r="J3" s="2"/>
      <c r="K3" s="2"/>
      <c r="L3" s="2"/>
      <c r="M3" s="2"/>
    </row>
    <row r="4" ht="14.25" customHeight="1">
      <c r="A4" s="8"/>
      <c r="B4" s="8"/>
      <c r="C4" s="16">
        <v>1.0</v>
      </c>
      <c r="D4" s="16">
        <v>2.0</v>
      </c>
      <c r="E4" s="16">
        <v>3.0</v>
      </c>
      <c r="F4" s="16">
        <v>4.0</v>
      </c>
      <c r="G4" s="16">
        <v>5.0</v>
      </c>
      <c r="H4" s="17"/>
      <c r="I4" s="2"/>
      <c r="J4" s="2"/>
      <c r="K4" s="2"/>
      <c r="L4" s="2"/>
      <c r="M4" s="2"/>
    </row>
    <row r="5" ht="14.25" customHeight="1">
      <c r="A5" s="10" t="s">
        <v>57</v>
      </c>
      <c r="B5" s="18">
        <v>3.0</v>
      </c>
      <c r="C5" s="10">
        <v>1.0</v>
      </c>
      <c r="D5" s="10">
        <v>0.0</v>
      </c>
      <c r="E5" s="10">
        <v>2.0</v>
      </c>
      <c r="F5" s="10">
        <v>0.0</v>
      </c>
      <c r="G5" s="10">
        <v>1.0</v>
      </c>
      <c r="H5" s="19">
        <f t="shared" ref="H5:H13" si="1">SUM(C5:G5)</f>
        <v>4</v>
      </c>
      <c r="I5" s="2"/>
      <c r="J5" s="2"/>
      <c r="K5" s="2"/>
      <c r="L5" s="2"/>
      <c r="M5" s="2"/>
    </row>
    <row r="6" ht="14.25" customHeight="1">
      <c r="A6" s="10" t="s">
        <v>58</v>
      </c>
      <c r="B6" s="18">
        <v>2.0</v>
      </c>
      <c r="C6" s="10">
        <v>1.0</v>
      </c>
      <c r="D6" s="10">
        <v>0.0</v>
      </c>
      <c r="E6" s="10">
        <v>0.0</v>
      </c>
      <c r="F6" s="10">
        <v>1.0</v>
      </c>
      <c r="G6" s="10">
        <v>0.0</v>
      </c>
      <c r="H6" s="20">
        <f t="shared" si="1"/>
        <v>2</v>
      </c>
      <c r="I6" s="2"/>
      <c r="J6" s="2"/>
      <c r="K6" s="2"/>
      <c r="L6" s="2"/>
      <c r="M6" s="2"/>
    </row>
    <row r="7" ht="14.25" customHeight="1">
      <c r="A7" s="10" t="s">
        <v>59</v>
      </c>
      <c r="B7" s="18">
        <v>3.0</v>
      </c>
      <c r="C7" s="10">
        <v>1.0</v>
      </c>
      <c r="D7" s="10">
        <v>1.0</v>
      </c>
      <c r="E7" s="10">
        <v>0.0</v>
      </c>
      <c r="F7" s="10">
        <v>0.0</v>
      </c>
      <c r="G7" s="10">
        <v>1.0</v>
      </c>
      <c r="H7" s="20">
        <f t="shared" si="1"/>
        <v>3</v>
      </c>
      <c r="I7" s="2"/>
      <c r="J7" s="2"/>
      <c r="K7" s="2"/>
      <c r="L7" s="2"/>
      <c r="M7" s="2"/>
    </row>
    <row r="8" ht="14.25" customHeight="1">
      <c r="A8" s="10" t="s">
        <v>60</v>
      </c>
      <c r="B8" s="18">
        <v>2.0</v>
      </c>
      <c r="C8" s="10">
        <v>0.0</v>
      </c>
      <c r="D8" s="10">
        <v>0.0</v>
      </c>
      <c r="E8" s="10">
        <v>1.0</v>
      </c>
      <c r="F8" s="10">
        <v>1.0</v>
      </c>
      <c r="G8" s="10">
        <v>0.0</v>
      </c>
      <c r="H8" s="20">
        <f t="shared" si="1"/>
        <v>2</v>
      </c>
      <c r="I8" s="2"/>
      <c r="J8" s="2"/>
      <c r="K8" s="2"/>
      <c r="L8" s="2"/>
      <c r="M8" s="2"/>
    </row>
    <row r="9" ht="14.25" customHeight="1">
      <c r="A9" s="10" t="s">
        <v>61</v>
      </c>
      <c r="B9" s="18">
        <v>3.0</v>
      </c>
      <c r="C9" s="10">
        <v>0.0</v>
      </c>
      <c r="D9" s="10">
        <v>0.0</v>
      </c>
      <c r="E9" s="10">
        <v>2.0</v>
      </c>
      <c r="F9" s="10">
        <v>0.0</v>
      </c>
      <c r="G9" s="10">
        <v>1.0</v>
      </c>
      <c r="H9" s="20">
        <f t="shared" si="1"/>
        <v>3</v>
      </c>
      <c r="I9" s="2"/>
      <c r="J9" s="2"/>
      <c r="K9" s="2"/>
      <c r="L9" s="2"/>
      <c r="M9" s="2"/>
    </row>
    <row r="10" ht="14.25" customHeight="1">
      <c r="A10" s="10" t="s">
        <v>62</v>
      </c>
      <c r="B10" s="18">
        <v>2.0</v>
      </c>
      <c r="C10" s="10">
        <v>0.0</v>
      </c>
      <c r="D10" s="10">
        <v>0.0</v>
      </c>
      <c r="E10" s="10">
        <v>0.0</v>
      </c>
      <c r="F10" s="10">
        <v>1.0</v>
      </c>
      <c r="G10" s="10">
        <v>1.0</v>
      </c>
      <c r="H10" s="20">
        <f t="shared" si="1"/>
        <v>2</v>
      </c>
      <c r="I10" s="2"/>
      <c r="J10" s="2"/>
      <c r="K10" s="2"/>
      <c r="L10" s="2"/>
      <c r="M10" s="2"/>
    </row>
    <row r="11" ht="14.25" customHeight="1">
      <c r="A11" s="10" t="s">
        <v>63</v>
      </c>
      <c r="B11" s="18">
        <v>3.0</v>
      </c>
      <c r="C11" s="10">
        <v>1.0</v>
      </c>
      <c r="D11" s="10">
        <v>2.0</v>
      </c>
      <c r="E11" s="10">
        <v>0.0</v>
      </c>
      <c r="F11" s="10">
        <v>0.0</v>
      </c>
      <c r="G11" s="10">
        <v>0.0</v>
      </c>
      <c r="H11" s="20">
        <f t="shared" si="1"/>
        <v>3</v>
      </c>
      <c r="I11" s="2"/>
      <c r="J11" s="2"/>
      <c r="K11" s="2"/>
      <c r="L11" s="2"/>
      <c r="M11" s="2"/>
    </row>
    <row r="12" ht="14.25" customHeight="1">
      <c r="A12" s="10" t="s">
        <v>64</v>
      </c>
      <c r="B12" s="18">
        <v>2.0</v>
      </c>
      <c r="C12" s="10">
        <v>0.0</v>
      </c>
      <c r="D12" s="10">
        <v>0.0</v>
      </c>
      <c r="E12" s="10">
        <v>0.0</v>
      </c>
      <c r="F12" s="10">
        <v>0.0</v>
      </c>
      <c r="G12" s="10">
        <v>2.0</v>
      </c>
      <c r="H12" s="20">
        <f t="shared" si="1"/>
        <v>2</v>
      </c>
      <c r="I12" s="2"/>
      <c r="J12" s="2"/>
      <c r="K12" s="2"/>
      <c r="L12" s="2"/>
      <c r="M12" s="2"/>
    </row>
    <row r="13" ht="14.25" customHeight="1">
      <c r="A13" s="10" t="s">
        <v>65</v>
      </c>
      <c r="B13" s="18">
        <v>2.0</v>
      </c>
      <c r="C13" s="10">
        <v>2.0</v>
      </c>
      <c r="D13" s="10">
        <v>1.0</v>
      </c>
      <c r="E13" s="10">
        <v>0.0</v>
      </c>
      <c r="F13" s="10">
        <v>0.0</v>
      </c>
      <c r="G13" s="10">
        <v>0.0</v>
      </c>
      <c r="H13" s="20">
        <f t="shared" si="1"/>
        <v>3</v>
      </c>
      <c r="I13" s="2"/>
      <c r="J13" s="2"/>
      <c r="K13" s="2"/>
      <c r="L13" s="2"/>
      <c r="M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4.25" customHeight="1">
      <c r="A15" s="2"/>
      <c r="B15" s="3">
        <f>SUM(B5:B14)</f>
        <v>22</v>
      </c>
      <c r="C15" s="3">
        <f>B15</f>
        <v>22</v>
      </c>
      <c r="D15" s="3">
        <f t="shared" ref="D15:G15" si="2">C15-SUM(C5:C13)</f>
        <v>16</v>
      </c>
      <c r="E15" s="3">
        <f t="shared" si="2"/>
        <v>12</v>
      </c>
      <c r="F15" s="3">
        <f t="shared" si="2"/>
        <v>7</v>
      </c>
      <c r="G15" s="3">
        <f t="shared" si="2"/>
        <v>4</v>
      </c>
      <c r="H15" s="2"/>
      <c r="I15" s="2"/>
      <c r="J15" s="2"/>
      <c r="K15" s="2"/>
      <c r="L15" s="2"/>
      <c r="M15" s="2"/>
    </row>
    <row r="16" ht="14.25" customHeight="1">
      <c r="A16" s="21" t="s">
        <v>19</v>
      </c>
      <c r="B16" s="2">
        <f t="shared" ref="B16:F16" si="3">C15</f>
        <v>22</v>
      </c>
      <c r="C16" s="2">
        <f t="shared" si="3"/>
        <v>16</v>
      </c>
      <c r="D16" s="2">
        <f t="shared" si="3"/>
        <v>12</v>
      </c>
      <c r="E16" s="2">
        <f t="shared" si="3"/>
        <v>7</v>
      </c>
      <c r="F16" s="2">
        <f t="shared" si="3"/>
        <v>4</v>
      </c>
      <c r="G16" s="2" t="str">
        <f>#REF!</f>
        <v>#REF!</v>
      </c>
      <c r="H16" s="2"/>
      <c r="I16" s="2"/>
      <c r="J16" s="2"/>
      <c r="K16" s="2"/>
      <c r="L16" s="2"/>
      <c r="M16" s="2"/>
    </row>
    <row r="17" ht="14.25" customHeight="1">
      <c r="A17" s="2"/>
      <c r="B17" s="3">
        <f>SUM(B5:B13)</f>
        <v>22</v>
      </c>
      <c r="C17" s="3">
        <f>SUM(B5:B13)</f>
        <v>22</v>
      </c>
      <c r="D17" s="3">
        <f t="shared" ref="D17:G17" si="4">C17-(SUM($B$5:$B$13)/5)</f>
        <v>17.6</v>
      </c>
      <c r="E17" s="3">
        <f t="shared" si="4"/>
        <v>13.2</v>
      </c>
      <c r="F17" s="3">
        <f t="shared" si="4"/>
        <v>8.8</v>
      </c>
      <c r="G17" s="3">
        <f t="shared" si="4"/>
        <v>4.4</v>
      </c>
      <c r="H17" s="3"/>
      <c r="I17" s="2"/>
      <c r="J17" s="2"/>
      <c r="K17" s="2"/>
      <c r="L17" s="2"/>
      <c r="M17" s="2"/>
    </row>
    <row r="18" ht="14.25" customHeight="1">
      <c r="A18" s="21" t="s">
        <v>20</v>
      </c>
      <c r="B18" s="2">
        <f>B17</f>
        <v>22</v>
      </c>
      <c r="C18" s="2">
        <f t="shared" ref="C18:F18" si="5">D17</f>
        <v>17.6</v>
      </c>
      <c r="D18" s="2">
        <f t="shared" si="5"/>
        <v>13.2</v>
      </c>
      <c r="E18" s="2">
        <f t="shared" si="5"/>
        <v>8.8</v>
      </c>
      <c r="F18" s="2">
        <f t="shared" si="5"/>
        <v>4.4</v>
      </c>
      <c r="G18" s="2" t="str">
        <f>#REF!</f>
        <v>#REF!</v>
      </c>
      <c r="H18" s="2"/>
      <c r="I18" s="2"/>
      <c r="J18" s="2"/>
      <c r="K18" s="2"/>
      <c r="L18" s="2"/>
      <c r="M18" s="2"/>
    </row>
    <row r="19" ht="14.25" customHeight="1">
      <c r="A19" s="2"/>
      <c r="B19" s="1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14.25" customHeight="1">
      <c r="A20" s="2"/>
      <c r="B20" s="15"/>
      <c r="C20" s="2"/>
      <c r="D20" s="2"/>
      <c r="E20" s="2"/>
      <c r="F20" s="2"/>
      <c r="G20" s="15"/>
      <c r="H20" s="2"/>
      <c r="I20" s="2"/>
      <c r="J20" s="2"/>
      <c r="K20" s="2"/>
      <c r="L20" s="2"/>
      <c r="M20" s="2"/>
    </row>
    <row r="21" ht="14.25" customHeight="1">
      <c r="A21" s="2"/>
      <c r="B21" s="15"/>
      <c r="C21" s="2"/>
      <c r="D21" s="2"/>
      <c r="E21" s="2"/>
      <c r="F21" s="2"/>
      <c r="G21" s="15"/>
      <c r="H21" s="2"/>
      <c r="I21" s="2"/>
      <c r="J21" s="2"/>
      <c r="K21" s="2"/>
      <c r="L21" s="2"/>
      <c r="M21" s="2"/>
    </row>
    <row r="22" ht="14.25" customHeight="1">
      <c r="A22" s="2"/>
      <c r="B22" s="15"/>
      <c r="C22" s="2"/>
      <c r="D22" s="2"/>
      <c r="E22" s="2"/>
      <c r="F22" s="2"/>
      <c r="G22" s="15"/>
      <c r="H22" s="2"/>
      <c r="I22" s="2"/>
      <c r="J22" s="2"/>
      <c r="K22" s="2"/>
      <c r="L22" s="2"/>
      <c r="M22" s="2"/>
    </row>
    <row r="23" ht="14.25" customHeight="1">
      <c r="A23" s="2"/>
      <c r="B23" s="15"/>
      <c r="C23" s="2"/>
      <c r="D23" s="2"/>
      <c r="E23" s="2"/>
      <c r="F23" s="2"/>
      <c r="G23" s="15"/>
      <c r="H23" s="2"/>
      <c r="I23" s="2"/>
      <c r="J23" s="2"/>
      <c r="K23" s="2"/>
      <c r="L23" s="2"/>
      <c r="M23" s="2"/>
    </row>
    <row r="24" ht="14.25" customHeight="1">
      <c r="A24" s="2"/>
      <c r="B24" s="15"/>
      <c r="C24" s="2"/>
      <c r="D24" s="2"/>
      <c r="E24" s="2"/>
      <c r="F24" s="2"/>
      <c r="G24" s="15"/>
    </row>
    <row r="25" ht="14.25" customHeight="1">
      <c r="A25" s="2"/>
      <c r="B25" s="15"/>
      <c r="C25" s="2"/>
      <c r="D25" s="2"/>
      <c r="E25" s="2"/>
      <c r="F25" s="2"/>
      <c r="G25" s="15"/>
    </row>
    <row r="26" ht="14.25" customHeight="1">
      <c r="A26" s="2"/>
      <c r="B26" s="15"/>
      <c r="C26" s="2"/>
      <c r="D26" s="2"/>
      <c r="E26" s="2"/>
      <c r="F26" s="2"/>
      <c r="G26" s="2"/>
    </row>
    <row r="27" ht="14.25" customHeight="1">
      <c r="A27" s="2"/>
      <c r="B27" s="15"/>
      <c r="C27" s="2"/>
      <c r="D27" s="2"/>
      <c r="E27" s="2"/>
      <c r="F27" s="2"/>
      <c r="G27" s="2"/>
    </row>
    <row r="28" ht="14.25" customHeight="1">
      <c r="A28" s="2"/>
      <c r="B28" s="15"/>
      <c r="C28" s="2"/>
      <c r="D28" s="2"/>
      <c r="E28" s="2"/>
      <c r="F28" s="2"/>
      <c r="G28" s="2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4">
    <mergeCell ref="A3:A4"/>
    <mergeCell ref="B3:B4"/>
    <mergeCell ref="C3:G3"/>
    <mergeCell ref="H3:H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