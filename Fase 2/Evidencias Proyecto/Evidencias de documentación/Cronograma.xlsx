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Diagrama de Gantt ágil" sheetId="1" r:id="rId4"/>
    <sheet state="visible" name="Diagrama de Gantt ágil" sheetId="2" r:id="rId5"/>
    <sheet state="visible" name="- Descargo de responsabilidad -" sheetId="3" r:id="rId6"/>
  </sheets>
  <definedNames/>
  <calcPr/>
  <extLst>
    <ext uri="GoogleSheetsCustomDataVersion2">
      <go:sheetsCustomData xmlns:go="http://customooxmlschemas.google.com/" r:id="rId7" roundtripDataChecksum="z6Ha/0rHBowjZwzmiw6i0CZhIUoh8QGGUb0g63EwbiA="/>
    </ext>
  </extLst>
</workbook>
</file>

<file path=xl/sharedStrings.xml><?xml version="1.0" encoding="utf-8"?>
<sst xmlns="http://schemas.openxmlformats.org/spreadsheetml/2006/main" count="200" uniqueCount="114">
  <si>
    <t>Cronograma</t>
  </si>
  <si>
    <t>PROYECTO 
NOMBRE</t>
  </si>
  <si>
    <t>Finnwey</t>
  </si>
  <si>
    <t>EMPEZAR 
FECHA</t>
  </si>
  <si>
    <t>Fin 
FECHA</t>
  </si>
  <si>
    <t>PROGRESO GENERAL</t>
  </si>
  <si>
    <t>ENTREGABLE DEL PROYECTO</t>
  </si>
  <si>
    <t>PROYECTO 
DIRECTOR</t>
  </si>
  <si>
    <t>Matias Gonzalez</t>
  </si>
  <si>
    <t>DECLARACIÓN DE ALCANCE</t>
  </si>
  <si>
    <t>EN RIESGO</t>
  </si>
  <si>
    <t>NOMBRE DE LA TAREA</t>
  </si>
  <si>
    <t>TIPO DE CARACTERÍSTICA</t>
  </si>
  <si>
    <t>RESPONSABLE</t>
  </si>
  <si>
    <t>PUNTOS DE LA HISTORIA</t>
  </si>
  <si>
    <t>EMPEZAR</t>
  </si>
  <si>
    <t>TERMINAR</t>
  </si>
  <si>
    <t>DURACIÓN
en días</t>
  </si>
  <si>
    <t>ESTADO</t>
  </si>
  <si>
    <t>COMENTARIOS</t>
  </si>
  <si>
    <t>SPRINT 1</t>
  </si>
  <si>
    <t>Íntegro</t>
  </si>
  <si>
    <t>Arquitectura del Sistema</t>
  </si>
  <si>
    <t>Técnica</t>
  </si>
  <si>
    <t>Felipe Valdebenito</t>
  </si>
  <si>
    <t>En curso</t>
  </si>
  <si>
    <t>Diagrama y stack definido</t>
  </si>
  <si>
    <t>Atrasado</t>
  </si>
  <si>
    <t>Diseño de Base de Dato</t>
  </si>
  <si>
    <t>Brayan Gatica</t>
  </si>
  <si>
    <t>Schema BD completo</t>
  </si>
  <si>
    <t>Diseño UX/UI</t>
  </si>
  <si>
    <t>Funcional/UX</t>
  </si>
  <si>
    <t>Matías Gonzalez</t>
  </si>
  <si>
    <t>Mockups y prototipo</t>
  </si>
  <si>
    <t>No iniciado</t>
  </si>
  <si>
    <t>SPRINT 2</t>
  </si>
  <si>
    <t>En espera</t>
  </si>
  <si>
    <t xml:space="preserve"> Autenticación y Onboarding</t>
  </si>
  <si>
    <t>Backend/Frontend</t>
  </si>
  <si>
    <t>Registro/login + onboarding</t>
  </si>
  <si>
    <t>SPRINT 3</t>
  </si>
  <si>
    <t>Gestión de Gastos</t>
  </si>
  <si>
    <t>Backend/Finanzas</t>
  </si>
  <si>
    <t>CRUD gastos + categorías</t>
  </si>
  <si>
    <t>SPRINT 4</t>
  </si>
  <si>
    <t>OCR y Escaneo de Boletas</t>
  </si>
  <si>
    <t>Integración/IA</t>
  </si>
  <si>
    <t>OCR + validación</t>
  </si>
  <si>
    <t>SPRINT 5</t>
  </si>
  <si>
    <t>Presupuestos y Metas</t>
  </si>
  <si>
    <t>Alertas y progreso</t>
  </si>
  <si>
    <t>SPRINT 6</t>
  </si>
  <si>
    <t>Reportes y Visualizaciones</t>
  </si>
  <si>
    <t>Funcional/Analytics</t>
  </si>
  <si>
    <t>Dashboard gráfico</t>
  </si>
  <si>
    <t xml:space="preserve"> IA Tips Financieros</t>
  </si>
  <si>
    <t>IA/Machine Learning</t>
  </si>
  <si>
    <t>Tips dinámicos</t>
  </si>
  <si>
    <t>SPRINT 7</t>
  </si>
  <si>
    <t>Gestión de Ingresos</t>
  </si>
  <si>
    <t>Registro y balance</t>
  </si>
  <si>
    <t>SPRINT 8</t>
  </si>
  <si>
    <t>Reportes Avanzados</t>
  </si>
  <si>
    <t>Frontend/BI</t>
  </si>
  <si>
    <t>Comparativos y tendencias</t>
  </si>
  <si>
    <t>SPRINT 9</t>
  </si>
  <si>
    <t>IA Personalizada</t>
  </si>
  <si>
    <t>Perfilado usuarios</t>
  </si>
  <si>
    <t>SPRINT 10</t>
  </si>
  <si>
    <t>Recomendaciones de Inversión</t>
  </si>
  <si>
    <t>IA/Simulaciones</t>
  </si>
  <si>
    <t>Motor de recomendaciones</t>
  </si>
  <si>
    <t>SPRINT 11</t>
  </si>
  <si>
    <t>Integraciones Bancarias</t>
  </si>
  <si>
    <t>Técnica/Integración</t>
  </si>
  <si>
    <t>Conexión API y sincronización</t>
  </si>
  <si>
    <t>SPRINT 12</t>
  </si>
  <si>
    <t>Asesores Externos</t>
  </si>
  <si>
    <t>Funcional/Marketplace</t>
  </si>
  <si>
    <t>Marketplace y contacto</t>
  </si>
  <si>
    <t>SPRINT 13</t>
  </si>
  <si>
    <t>Optimización y Scaling</t>
  </si>
  <si>
    <t>Técnica/Infraestructura</t>
  </si>
  <si>
    <t>Performance y escalabilidad</t>
  </si>
  <si>
    <t>SPRINT 14</t>
  </si>
  <si>
    <t>Plataforma de Analytics</t>
  </si>
  <si>
    <t>Data/ETL</t>
  </si>
  <si>
    <t>Data warehouse y ETL</t>
  </si>
  <si>
    <t>SPRINT 15</t>
  </si>
  <si>
    <t>Insights y Patrones</t>
  </si>
  <si>
    <t>BI/IA</t>
  </si>
  <si>
    <t>Dashboard y reportes</t>
  </si>
  <si>
    <t>SPRINT 16</t>
  </si>
  <si>
    <t>Comercialización de Datos</t>
  </si>
  <si>
    <t>Negocio/API</t>
  </si>
  <si>
    <t>API B2B + facturación</t>
  </si>
  <si>
    <t>PLANTILLA DE DIAGRAMA DE GANTT PARA PROYECTOS ÁGILES</t>
  </si>
  <si>
    <t>Lanzamiento del producto</t>
  </si>
  <si>
    <t>Álex B.</t>
  </si>
  <si>
    <t>Característica 1</t>
  </si>
  <si>
    <t>Frank C.</t>
  </si>
  <si>
    <t>Característica 2</t>
  </si>
  <si>
    <t>JacobO S.</t>
  </si>
  <si>
    <t>Característica 3</t>
  </si>
  <si>
    <t xml:space="preserve"> Autenticación y Onboarding
</t>
  </si>
  <si>
    <t>Característica 5</t>
  </si>
  <si>
    <t>Característica 6</t>
  </si>
  <si>
    <t>Shari W.</t>
  </si>
  <si>
    <t>Característica 7</t>
  </si>
  <si>
    <t>Característica 8</t>
  </si>
  <si>
    <t>Kennedy K.</t>
  </si>
  <si>
    <t>Característica 9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</si>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</sst>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"/>
    <numFmt numFmtId="165" formatCode="dd/mm/yy"/>
    <numFmt numFmtId="166" formatCode="YYYY-MM-DD"/>
  </numFmts>
  <fonts count="13">
    <font>
      <sz val="12.0"/>
      <color theme="1"/>
      <name val="Calibri"/>
      <scheme val="minor"/>
    </font>
    <font>
      <sz val="10.0"/>
      <color theme="1"/>
      <name val="Century Gothic"/>
    </font>
    <font>
      <b/>
      <sz val="20.0"/>
      <color rgb="FF595959"/>
      <name val="Century Gothic"/>
    </font>
    <font>
      <b/>
      <sz val="22.0"/>
      <color rgb="FF7F7F7F"/>
      <name val="Century Gothic"/>
    </font>
    <font>
      <b/>
      <sz val="10.0"/>
      <color theme="1"/>
      <name val="Century Gothic"/>
    </font>
    <font/>
    <font>
      <sz val="10.0"/>
      <color rgb="FF000000"/>
      <name val="Century Gothic"/>
    </font>
    <font>
      <color theme="1"/>
      <name val="Calibri"/>
      <scheme val="minor"/>
    </font>
    <font>
      <sz val="12.0"/>
      <color theme="1"/>
      <name val="Century Gothic"/>
    </font>
    <font>
      <sz val="12.0"/>
      <color theme="1"/>
      <name val="Calibri"/>
    </font>
    <font>
      <sz val="12.0"/>
      <color theme="1"/>
      <name val="Arial"/>
    </font>
    <font>
      <sz val="22.0"/>
      <color rgb="FFFFFFFF"/>
      <name val="Calibri"/>
      <scheme val="minor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FF00B22B"/>
        <bgColor rgb="FF00B22B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  <fill>
      <patternFill patternType="solid">
        <fgColor rgb="FFADB9CA"/>
        <bgColor rgb="FFADB9CA"/>
      </patternFill>
    </fill>
  </fills>
  <borders count="15">
    <border/>
    <border>
      <left/>
      <right/>
      <top/>
      <bottom/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/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ck">
        <color rgb="FFA5A5A5"/>
      </lef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vertical="center"/>
    </xf>
    <xf borderId="1" fillId="2" fontId="1" numFmtId="0" xfId="0" applyBorder="1" applyFont="1"/>
    <xf borderId="2" fillId="3" fontId="4" numFmtId="0" xfId="0" applyAlignment="1" applyBorder="1" applyFill="1" applyFont="1">
      <alignment horizontal="right" shrinkToFit="0" vertical="center" wrapText="1"/>
    </xf>
    <xf borderId="3" fillId="0" fontId="1" numFmtId="0" xfId="0" applyAlignment="1" applyBorder="1" applyFont="1">
      <alignment horizontal="left" readingOrder="0" vertical="center"/>
    </xf>
    <xf borderId="4" fillId="0" fontId="5" numFmtId="0" xfId="0" applyBorder="1" applyFont="1"/>
    <xf borderId="5" fillId="0" fontId="5" numFmtId="0" xfId="0" applyBorder="1" applyFont="1"/>
    <xf borderId="6" fillId="4" fontId="4" numFmtId="0" xfId="0" applyAlignment="1" applyBorder="1" applyFill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6" fillId="5" fontId="4" numFmtId="0" xfId="0" applyAlignment="1" applyBorder="1" applyFill="1" applyFont="1">
      <alignment horizontal="right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9" fillId="3" fontId="4" numFmtId="0" xfId="0" applyAlignment="1" applyBorder="1" applyFont="1">
      <alignment horizontal="right" shrinkToFit="0" vertical="center" wrapText="1"/>
    </xf>
    <xf borderId="10" fillId="0" fontId="1" numFmtId="164" xfId="0" applyAlignment="1" applyBorder="1" applyFont="1" applyNumberFormat="1">
      <alignment horizontal="center" readingOrder="0" vertical="center"/>
    </xf>
    <xf borderId="5" fillId="0" fontId="1" numFmtId="9" xfId="0" applyAlignment="1" applyBorder="1" applyFont="1" applyNumberFormat="1">
      <alignment horizontal="center" vertical="center"/>
    </xf>
    <xf borderId="9" fillId="6" fontId="4" numFmtId="0" xfId="0" applyAlignment="1" applyBorder="1" applyFill="1" applyFont="1">
      <alignment horizontal="left" shrinkToFit="0" vertical="center" wrapText="1"/>
    </xf>
    <xf borderId="9" fillId="6" fontId="4" numFmtId="0" xfId="0" applyAlignment="1" applyBorder="1" applyFont="1">
      <alignment horizontal="center" shrinkToFit="0" vertical="center" wrapText="1"/>
    </xf>
    <xf borderId="7" fillId="6" fontId="4" numFmtId="0" xfId="0" applyAlignment="1" applyBorder="1" applyFont="1">
      <alignment horizontal="left" shrinkToFit="0" vertical="center" wrapText="1"/>
    </xf>
    <xf borderId="9" fillId="6" fontId="4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left" shrinkToFit="0" vertical="center" wrapText="1"/>
    </xf>
    <xf borderId="9" fillId="4" fontId="6" numFmtId="0" xfId="0" applyAlignment="1" applyBorder="1" applyFont="1">
      <alignment horizontal="left" readingOrder="1" shrinkToFit="0" vertical="center" wrapText="1"/>
    </xf>
    <xf borderId="9" fillId="4" fontId="6" numFmtId="0" xfId="0" applyAlignment="1" applyBorder="1" applyFont="1">
      <alignment horizontal="left" shrinkToFit="0" vertical="center" wrapText="1"/>
    </xf>
    <xf borderId="9" fillId="4" fontId="6" numFmtId="0" xfId="0" applyAlignment="1" applyBorder="1" applyFont="1">
      <alignment horizontal="left" readingOrder="0" shrinkToFit="0" vertical="center" wrapText="1"/>
    </xf>
    <xf borderId="9" fillId="4" fontId="6" numFmtId="165" xfId="0" applyAlignment="1" applyBorder="1" applyFont="1" applyNumberFormat="1">
      <alignment horizontal="center" readingOrder="1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9" fillId="4" fontId="1" numFmtId="0" xfId="0" applyAlignment="1" applyBorder="1" applyFont="1">
      <alignment horizontal="left" readingOrder="0" vertical="center"/>
    </xf>
    <xf borderId="7" fillId="4" fontId="6" numFmtId="0" xfId="0" applyAlignment="1" applyBorder="1" applyFont="1">
      <alignment horizontal="left" readingOrder="0" shrinkToFit="0" vertical="center" wrapText="1"/>
    </xf>
    <xf borderId="9" fillId="7" fontId="1" numFmtId="0" xfId="0" applyAlignment="1" applyBorder="1" applyFill="1" applyFont="1">
      <alignment horizontal="left" vertical="center"/>
    </xf>
    <xf borderId="9" fillId="0" fontId="1" numFmtId="0" xfId="0" applyAlignment="1" applyBorder="1" applyFont="1">
      <alignment horizontal="left" shrinkToFit="0" vertical="center" wrapText="1"/>
    </xf>
    <xf borderId="9" fillId="2" fontId="6" numFmtId="0" xfId="0" applyAlignment="1" applyBorder="1" applyFont="1">
      <alignment horizontal="left" readingOrder="1" shrinkToFit="0" vertical="center" wrapText="1"/>
    </xf>
    <xf borderId="9" fillId="2" fontId="6" numFmtId="0" xfId="0" applyAlignment="1" applyBorder="1" applyFont="1">
      <alignment horizontal="left" readingOrder="0" shrinkToFit="0" vertical="center" wrapText="1"/>
    </xf>
    <xf borderId="9" fillId="2" fontId="6" numFmtId="165" xfId="0" applyAlignment="1" applyBorder="1" applyFont="1" applyNumberFormat="1">
      <alignment horizontal="center" readingOrder="1"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left" readingOrder="0" vertical="center"/>
    </xf>
    <xf borderId="7" fillId="2" fontId="6" numFmtId="0" xfId="0" applyAlignment="1" applyBorder="1" applyFont="1">
      <alignment horizontal="left" readingOrder="0" shrinkToFit="0" vertical="center" wrapText="1"/>
    </xf>
    <xf borderId="9" fillId="8" fontId="1" numFmtId="0" xfId="0" applyAlignment="1" applyBorder="1" applyFill="1" applyFont="1">
      <alignment horizontal="left" vertical="center"/>
    </xf>
    <xf borderId="9" fillId="9" fontId="1" numFmtId="0" xfId="0" applyAlignment="1" applyBorder="1" applyFill="1" applyFont="1">
      <alignment horizontal="left" vertical="center"/>
    </xf>
    <xf borderId="9" fillId="10" fontId="1" numFmtId="0" xfId="0" applyAlignment="1" applyBorder="1" applyFill="1" applyFont="1">
      <alignment horizontal="left" vertical="center"/>
    </xf>
    <xf borderId="9" fillId="6" fontId="1" numFmtId="0" xfId="0" applyAlignment="1" applyBorder="1" applyFont="1">
      <alignment horizontal="left" shrinkToFit="0" vertical="center" wrapText="1"/>
    </xf>
    <xf borderId="9" fillId="6" fontId="1" numFmtId="0" xfId="0" applyAlignment="1" applyBorder="1" applyFont="1">
      <alignment horizontal="left" shrinkToFit="0" vertical="center" wrapText="1"/>
    </xf>
    <xf borderId="9" fillId="6" fontId="1" numFmtId="0" xfId="0" applyAlignment="1" applyBorder="1" applyFont="1">
      <alignment horizontal="left" readingOrder="0" shrinkToFit="0" vertical="center" wrapText="1"/>
    </xf>
    <xf borderId="9" fillId="6" fontId="1" numFmtId="165" xfId="0" applyAlignment="1" applyBorder="1" applyFont="1" applyNumberFormat="1">
      <alignment horizontal="center" readingOrder="0" shrinkToFit="0" vertical="center" wrapText="1"/>
    </xf>
    <xf borderId="9" fillId="6" fontId="1" numFmtId="0" xfId="0" applyAlignment="1" applyBorder="1" applyFont="1">
      <alignment horizontal="center" readingOrder="0" shrinkToFit="0" vertical="center" wrapText="1"/>
    </xf>
    <xf borderId="9" fillId="6" fontId="1" numFmtId="0" xfId="0" applyAlignment="1" applyBorder="1" applyFont="1">
      <alignment horizontal="left" vertical="center"/>
    </xf>
    <xf borderId="7" fillId="6" fontId="1" numFmtId="0" xfId="0" applyAlignment="1" applyBorder="1" applyFont="1">
      <alignment horizontal="left" readingOrder="0" shrinkToFit="0" vertical="center" wrapText="1"/>
    </xf>
    <xf borderId="9" fillId="5" fontId="1" numFmtId="0" xfId="0" applyAlignment="1" applyBorder="1" applyFont="1">
      <alignment horizontal="left" vertical="center"/>
    </xf>
    <xf borderId="9" fillId="2" fontId="1" numFmtId="0" xfId="0" applyAlignment="1" applyBorder="1" applyFont="1">
      <alignment horizontal="left" readingOrder="0" shrinkToFit="0" vertical="center" wrapText="1"/>
    </xf>
    <xf borderId="9" fillId="2" fontId="1" numFmtId="165" xfId="0" applyAlignment="1" applyBorder="1" applyFont="1" applyNumberFormat="1">
      <alignment horizontal="center" readingOrder="0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left" readingOrder="0" shrinkToFit="0" vertical="center" wrapText="1"/>
    </xf>
    <xf borderId="9" fillId="11" fontId="1" numFmtId="0" xfId="0" applyAlignment="1" applyBorder="1" applyFill="1" applyFont="1">
      <alignment horizontal="left" shrinkToFit="0" vertical="center" wrapText="1"/>
    </xf>
    <xf borderId="9" fillId="11" fontId="1" numFmtId="0" xfId="0" applyAlignment="1" applyBorder="1" applyFont="1">
      <alignment horizontal="left" shrinkToFit="0" vertical="center" wrapText="1"/>
    </xf>
    <xf borderId="9" fillId="11" fontId="1" numFmtId="0" xfId="0" applyAlignment="1" applyBorder="1" applyFont="1">
      <alignment horizontal="left" readingOrder="0" shrinkToFit="0" vertical="center" wrapText="1"/>
    </xf>
    <xf borderId="9" fillId="11" fontId="1" numFmtId="165" xfId="0" applyAlignment="1" applyBorder="1" applyFont="1" applyNumberFormat="1">
      <alignment horizontal="center" readingOrder="0" shrinkToFit="0" vertical="center" wrapText="1"/>
    </xf>
    <xf borderId="9" fillId="11" fontId="1" numFmtId="0" xfId="0" applyAlignment="1" applyBorder="1" applyFont="1">
      <alignment horizontal="center" readingOrder="0" shrinkToFit="0" vertical="center" wrapText="1"/>
    </xf>
    <xf borderId="9" fillId="11" fontId="1" numFmtId="0" xfId="0" applyAlignment="1" applyBorder="1" applyFont="1">
      <alignment horizontal="left" vertical="center"/>
    </xf>
    <xf borderId="7" fillId="11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readingOrder="0"/>
    </xf>
    <xf borderId="9" fillId="2" fontId="1" numFmtId="165" xfId="0" applyAlignment="1" applyBorder="1" applyFont="1" applyNumberFormat="1">
      <alignment horizontal="center" readingOrder="0" shrinkToFit="0" vertical="center" wrapText="1"/>
    </xf>
    <xf borderId="9" fillId="11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readingOrder="0" shrinkToFit="0" wrapText="1"/>
    </xf>
    <xf borderId="0" fillId="0" fontId="7" numFmtId="0" xfId="0" applyFont="1"/>
    <xf borderId="0" fillId="0" fontId="7" numFmtId="165" xfId="0" applyAlignment="1" applyFont="1" applyNumberFormat="1">
      <alignment readingOrder="0"/>
    </xf>
    <xf borderId="1" fillId="0" fontId="8" numFmtId="0" xfId="0" applyAlignment="1" applyBorder="1" applyFont="1">
      <alignment horizontal="left" vertical="center"/>
    </xf>
    <xf borderId="1" fillId="0" fontId="1" numFmtId="0" xfId="0" applyBorder="1" applyFont="1"/>
    <xf borderId="0" fillId="0" fontId="9" numFmtId="0" xfId="0" applyFont="1"/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1" fillId="2" fontId="2" numFmtId="0" xfId="0" applyAlignment="1" applyBorder="1" applyFont="1">
      <alignment vertical="center"/>
    </xf>
    <xf borderId="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10" fillId="0" fontId="1" numFmtId="166" xfId="0" applyAlignment="1" applyBorder="1" applyFont="1" applyNumberFormat="1">
      <alignment horizontal="center" vertical="center"/>
    </xf>
    <xf borderId="7" fillId="0" fontId="1" numFmtId="166" xfId="0" applyAlignment="1" applyBorder="1" applyFont="1" applyNumberFormat="1">
      <alignment horizontal="center" vertical="center"/>
    </xf>
    <xf borderId="9" fillId="4" fontId="6" numFmtId="166" xfId="0" applyAlignment="1" applyBorder="1" applyFont="1" applyNumberFormat="1">
      <alignment horizontal="center" readingOrder="1" shrinkToFit="0" vertical="center" wrapText="1"/>
    </xf>
    <xf borderId="9" fillId="4" fontId="6" numFmtId="0" xfId="0" applyAlignment="1" applyBorder="1" applyFont="1">
      <alignment horizontal="center" readingOrder="1" shrinkToFit="0" vertical="center" wrapText="1"/>
    </xf>
    <xf borderId="9" fillId="4" fontId="1" numFmtId="0" xfId="0" applyAlignment="1" applyBorder="1" applyFont="1">
      <alignment horizontal="left" vertical="center"/>
    </xf>
    <xf borderId="7" fillId="4" fontId="6" numFmtId="0" xfId="0" applyAlignment="1" applyBorder="1" applyFont="1">
      <alignment horizontal="left" readingOrder="1" shrinkToFit="0" vertical="center" wrapText="1"/>
    </xf>
    <xf borderId="9" fillId="2" fontId="6" numFmtId="0" xfId="0" applyAlignment="1" applyBorder="1" applyFont="1">
      <alignment horizontal="left" readingOrder="1" shrinkToFit="0" vertical="center" wrapText="1"/>
    </xf>
    <xf borderId="9" fillId="2" fontId="6" numFmtId="166" xfId="0" applyAlignment="1" applyBorder="1" applyFont="1" applyNumberFormat="1">
      <alignment horizontal="center" readingOrder="1" shrinkToFit="0" vertical="center" wrapText="1"/>
    </xf>
    <xf borderId="9" fillId="2" fontId="6" numFmtId="0" xfId="0" applyAlignment="1" applyBorder="1" applyFont="1">
      <alignment horizontal="center" readingOrder="1" shrinkToFit="0" vertical="center" wrapText="1"/>
    </xf>
    <xf borderId="9" fillId="0" fontId="1" numFmtId="0" xfId="0" applyAlignment="1" applyBorder="1" applyFont="1">
      <alignment horizontal="left" vertical="center"/>
    </xf>
    <xf borderId="7" fillId="2" fontId="6" numFmtId="0" xfId="0" applyAlignment="1" applyBorder="1" applyFont="1">
      <alignment horizontal="left" readingOrder="1" shrinkToFit="0" vertical="center" wrapText="1"/>
    </xf>
    <xf borderId="9" fillId="6" fontId="1" numFmtId="166" xfId="0" applyAlignment="1" applyBorder="1" applyFont="1" applyNumberFormat="1">
      <alignment horizontal="center" shrinkToFit="0" vertical="center" wrapText="1"/>
    </xf>
    <xf borderId="9" fillId="6" fontId="1" numFmtId="0" xfId="0" applyAlignment="1" applyBorder="1" applyFont="1">
      <alignment horizontal="center" shrinkToFit="0" vertical="center" wrapText="1"/>
    </xf>
    <xf borderId="7" fillId="6" fontId="1" numFmtId="0" xfId="0" applyAlignment="1" applyBorder="1" applyFont="1">
      <alignment horizontal="left"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2" fontId="1" numFmtId="166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9" fillId="11" fontId="1" numFmtId="166" xfId="0" applyAlignment="1" applyBorder="1" applyFont="1" applyNumberFormat="1">
      <alignment horizontal="center" shrinkToFit="0" vertical="center" wrapText="1"/>
    </xf>
    <xf borderId="9" fillId="11" fontId="1" numFmtId="0" xfId="0" applyAlignment="1" applyBorder="1" applyFont="1">
      <alignment horizontal="center" shrinkToFit="0" vertical="center" wrapText="1"/>
    </xf>
    <xf borderId="7" fillId="11" fontId="1" numFmtId="0" xfId="0" applyAlignment="1" applyBorder="1" applyFont="1">
      <alignment horizontal="left" shrinkToFit="0" vertical="center" wrapText="1"/>
    </xf>
    <xf borderId="0" fillId="0" fontId="10" numFmtId="0" xfId="0" applyFont="1"/>
    <xf borderId="11" fillId="0" fontId="11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0" fillId="0" fontId="1" numFmtId="0" xfId="0" applyAlignment="1" applyFont="1">
      <alignment vertical="center"/>
    </xf>
    <xf borderId="0" fillId="0" fontId="12" numFmtId="0" xfId="0" applyFont="1"/>
    <xf borderId="14" fillId="0" fontId="1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>
        <color theme="1"/>
      </font>
      <fill>
        <patternFill patternType="solid">
          <fgColor rgb="FFD8D8D8"/>
          <bgColor rgb="FFD8D8D8"/>
        </patternFill>
      </fill>
      <border/>
    </dxf>
    <dxf>
      <font>
        <color theme="1"/>
      </font>
      <fill>
        <patternFill patternType="solid">
          <fgColor rgb="FFFEF2CB"/>
          <bgColor rgb="FFFEF2C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>
        <color theme="1"/>
      </font>
      <fill>
        <patternFill patternType="solid">
          <fgColor rgb="FF00B22B"/>
          <bgColor rgb="FF00B22B"/>
        </patternFill>
      </fill>
      <border/>
    </dxf>
    <dxf>
      <font>
        <color theme="1"/>
      </font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EMPEZAR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'BLANK - Diagrama de Gantt ágil'!$C$6:$C$40</c:f>
            </c:strRef>
          </c:cat>
          <c:val>
            <c:numRef>
              <c:f>'BLANK - Diagrama de Gantt ágil'!$G$6:$G$40</c:f>
              <c:numCache/>
            </c:numRef>
          </c:val>
        </c:ser>
        <c:ser>
          <c:idx val="1"/>
          <c:order val="1"/>
          <c:tx>
            <c:v>DURACIÓN
en días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'BLANK - Diagrama de Gantt ágil'!$C$6:$C$40</c:f>
            </c:strRef>
          </c:cat>
          <c:val>
            <c:numRef>
              <c:f>'BLANK - Diagrama de Gantt ágil'!$I$6:$I$42</c:f>
              <c:numCache/>
            </c:numRef>
          </c:val>
        </c:ser>
        <c:overlap val="100"/>
        <c:axId val="1166819900"/>
        <c:axId val="1421660990"/>
      </c:barChart>
      <c:catAx>
        <c:axId val="11668199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1421660990"/>
      </c:catAx>
      <c:valAx>
        <c:axId val="14216609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1166819900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v>EMPEZAR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'Diagrama de Gantt ágil'!$C$7:$C$18</c:f>
            </c:strRef>
          </c:cat>
          <c:val>
            <c:numRef>
              <c:f>'Diagrama de Gantt ágil'!$G$7:$G$18</c:f>
              <c:numCache/>
            </c:numRef>
          </c:val>
        </c:ser>
        <c:ser>
          <c:idx val="1"/>
          <c:order val="1"/>
          <c:tx>
            <c:v>DURACIÓN
en días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'Diagrama de Gantt ágil'!$C$7:$C$18</c:f>
            </c:strRef>
          </c:cat>
          <c:val>
            <c:numRef>
              <c:f>'Diagrama de Gantt ágil'!$I$7:$I$18</c:f>
              <c:numCache/>
            </c:numRef>
          </c:val>
        </c:ser>
        <c:overlap val="100"/>
        <c:axId val="1987033292"/>
        <c:axId val="1862130298"/>
      </c:barChart>
      <c:catAx>
        <c:axId val="19870332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1862130298"/>
      </c:catAx>
      <c:valAx>
        <c:axId val="1862130298"/>
        <c:scaling>
          <c:orientation val="minMax"/>
          <c:min val="459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entury Gothic"/>
              </a:defRPr>
            </a:pPr>
          </a:p>
        </c:txPr>
        <c:crossAx val="1987033292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41</xdr:row>
      <xdr:rowOff>38100</xdr:rowOff>
    </xdr:from>
    <xdr:ext cx="11972925" cy="4114800"/>
    <xdr:graphicFrame>
      <xdr:nvGraphicFramePr>
        <xdr:cNvPr id="41772282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342900</xdr:colOff>
      <xdr:row>38</xdr:row>
      <xdr:rowOff>257175</xdr:rowOff>
    </xdr:from>
    <xdr:ext cx="2305050" cy="3524250"/>
    <xdr:grpSp>
      <xdr:nvGrpSpPr>
        <xdr:cNvPr id="2" name="Shape 2" title="Dibujo"/>
        <xdr:cNvGrpSpPr/>
      </xdr:nvGrpSpPr>
      <xdr:grpSpPr>
        <a:xfrm>
          <a:off x="4193475" y="2017875"/>
          <a:ext cx="2305050" cy="3524250"/>
          <a:chOff x="4193475" y="2017875"/>
          <a:chExt cx="2305050" cy="3524250"/>
        </a:xfrm>
      </xdr:grpSpPr>
      <xdr:grpSp>
        <xdr:nvGrpSpPr>
          <xdr:cNvPr id="3" name="Shape 3"/>
          <xdr:cNvGrpSpPr/>
        </xdr:nvGrpSpPr>
        <xdr:grpSpPr>
          <a:xfrm>
            <a:off x="4193475" y="2017875"/>
            <a:ext cx="2305050" cy="3524250"/>
            <a:chOff x="13982700" y="6629400"/>
            <a:chExt cx="2578100" cy="3530600"/>
          </a:xfrm>
        </xdr:grpSpPr>
        <xdr:sp>
          <xdr:nvSpPr>
            <xdr:cNvPr id="4" name="Shape 4"/>
            <xdr:cNvSpPr/>
          </xdr:nvSpPr>
          <xdr:spPr>
            <a:xfrm>
              <a:off x="13982700" y="6629400"/>
              <a:ext cx="2578100" cy="353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4198600" y="7413442"/>
              <a:ext cx="2362200" cy="274655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19</xdr:row>
      <xdr:rowOff>38100</xdr:rowOff>
    </xdr:from>
    <xdr:ext cx="11972925" cy="4114800"/>
    <xdr:graphicFrame>
      <xdr:nvGraphicFramePr>
        <xdr:cNvPr id="117250350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2.56"/>
    <col customWidth="1" min="2" max="2" width="4.22"/>
    <col customWidth="1" min="3" max="3" width="12.33"/>
    <col customWidth="1" min="4" max="4" width="13.0"/>
    <col customWidth="1" min="5" max="5" width="10.56"/>
    <col customWidth="1" min="6" max="6" width="10.78"/>
    <col customWidth="1" min="7" max="7" width="7.33"/>
    <col customWidth="1" min="8" max="8" width="7.89"/>
    <col customWidth="1" min="9" max="9" width="8.78"/>
    <col customWidth="1" min="10" max="10" width="10.33"/>
    <col customWidth="1" min="11" max="11" width="11.56"/>
    <col customWidth="1" min="12" max="12" width="2.56"/>
    <col customWidth="1" min="13" max="13" width="9.11"/>
    <col customWidth="1" min="14" max="33" width="8.56"/>
  </cols>
  <sheetData>
    <row r="1" ht="4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4.5" customHeight="1">
      <c r="A2" s="1"/>
      <c r="B2" s="1"/>
      <c r="C2" s="5" t="s">
        <v>1</v>
      </c>
      <c r="D2" s="6" t="s">
        <v>2</v>
      </c>
      <c r="E2" s="7"/>
      <c r="F2" s="8"/>
      <c r="G2" s="9" t="s">
        <v>3</v>
      </c>
      <c r="H2" s="10" t="s">
        <v>4</v>
      </c>
      <c r="I2" s="11" t="s">
        <v>5</v>
      </c>
      <c r="J2" s="12" t="s">
        <v>6</v>
      </c>
      <c r="K2" s="13"/>
      <c r="L2" s="1"/>
      <c r="M2" s="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34.5" customHeight="1">
      <c r="A3" s="1"/>
      <c r="B3" s="1"/>
      <c r="C3" s="14" t="s">
        <v>7</v>
      </c>
      <c r="D3" s="6" t="s">
        <v>8</v>
      </c>
      <c r="E3" s="7"/>
      <c r="F3" s="8"/>
      <c r="G3" s="15">
        <v>45880.0</v>
      </c>
      <c r="H3" s="15">
        <v>46116.0</v>
      </c>
      <c r="I3" s="16"/>
      <c r="J3" s="12" t="s">
        <v>9</v>
      </c>
      <c r="K3" s="13"/>
      <c r="L3" s="1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9.75" customHeight="1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31.5" customHeight="1">
      <c r="A5" s="1"/>
      <c r="B5" s="17" t="s">
        <v>10</v>
      </c>
      <c r="C5" s="17" t="s">
        <v>11</v>
      </c>
      <c r="D5" s="17" t="s">
        <v>12</v>
      </c>
      <c r="E5" s="17" t="s">
        <v>13</v>
      </c>
      <c r="F5" s="17" t="s">
        <v>14</v>
      </c>
      <c r="G5" s="18" t="s">
        <v>15</v>
      </c>
      <c r="H5" s="18" t="s">
        <v>16</v>
      </c>
      <c r="I5" s="18" t="s">
        <v>17</v>
      </c>
      <c r="J5" s="18" t="s">
        <v>18</v>
      </c>
      <c r="K5" s="19" t="s">
        <v>19</v>
      </c>
      <c r="L5" s="4"/>
      <c r="M5" s="20" t="s">
        <v>18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30.0" customHeight="1">
      <c r="A6" s="1"/>
      <c r="B6" s="21"/>
      <c r="C6" s="22" t="s">
        <v>20</v>
      </c>
      <c r="D6" s="23"/>
      <c r="E6" s="23"/>
      <c r="F6" s="24"/>
      <c r="G6" s="25">
        <v>45880.0</v>
      </c>
      <c r="H6" s="25">
        <v>45907.0</v>
      </c>
      <c r="I6" s="26">
        <v>20.0</v>
      </c>
      <c r="J6" s="27"/>
      <c r="K6" s="28"/>
      <c r="L6" s="4"/>
      <c r="M6" s="29" t="s">
        <v>21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30.0" customHeight="1">
      <c r="A7" s="1"/>
      <c r="B7" s="30"/>
      <c r="C7" s="31" t="s">
        <v>22</v>
      </c>
      <c r="D7" s="32" t="s">
        <v>23</v>
      </c>
      <c r="E7" s="32" t="s">
        <v>24</v>
      </c>
      <c r="F7" s="32">
        <v>5.0</v>
      </c>
      <c r="G7" s="33">
        <v>45880.0</v>
      </c>
      <c r="H7" s="33">
        <v>45895.0</v>
      </c>
      <c r="I7" s="34">
        <v>10.0</v>
      </c>
      <c r="J7" s="35" t="s">
        <v>25</v>
      </c>
      <c r="K7" s="36" t="s">
        <v>26</v>
      </c>
      <c r="L7" s="4"/>
      <c r="M7" s="37" t="s">
        <v>27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30.0" customHeight="1">
      <c r="A8" s="1"/>
      <c r="B8" s="30"/>
      <c r="C8" s="31" t="s">
        <v>28</v>
      </c>
      <c r="D8" s="32" t="s">
        <v>23</v>
      </c>
      <c r="E8" s="32" t="s">
        <v>29</v>
      </c>
      <c r="F8" s="32">
        <v>5.0</v>
      </c>
      <c r="G8" s="33">
        <v>45880.0</v>
      </c>
      <c r="H8" s="33">
        <v>45901.0</v>
      </c>
      <c r="I8" s="34">
        <v>15.0</v>
      </c>
      <c r="J8" s="35" t="s">
        <v>25</v>
      </c>
      <c r="K8" s="36" t="s">
        <v>30</v>
      </c>
      <c r="L8" s="4"/>
      <c r="M8" s="38" t="s">
        <v>25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30.0" customHeight="1">
      <c r="A9" s="1"/>
      <c r="B9" s="30"/>
      <c r="C9" s="31" t="s">
        <v>31</v>
      </c>
      <c r="D9" s="32" t="s">
        <v>32</v>
      </c>
      <c r="E9" s="32" t="s">
        <v>33</v>
      </c>
      <c r="F9" s="32">
        <v>8.0</v>
      </c>
      <c r="G9" s="33">
        <v>45880.0</v>
      </c>
      <c r="H9" s="33">
        <v>45901.0</v>
      </c>
      <c r="I9" s="34">
        <v>15.0</v>
      </c>
      <c r="J9" s="35" t="s">
        <v>25</v>
      </c>
      <c r="K9" s="36" t="s">
        <v>34</v>
      </c>
      <c r="L9" s="4"/>
      <c r="M9" s="39" t="s">
        <v>35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30.0" customHeight="1">
      <c r="A10" s="1"/>
      <c r="B10" s="40"/>
      <c r="C10" s="40" t="s">
        <v>36</v>
      </c>
      <c r="D10" s="41"/>
      <c r="E10" s="41"/>
      <c r="F10" s="42"/>
      <c r="G10" s="43">
        <v>45908.0</v>
      </c>
      <c r="H10" s="43">
        <v>45921.0</v>
      </c>
      <c r="I10" s="44">
        <v>10.0</v>
      </c>
      <c r="J10" s="45"/>
      <c r="K10" s="46"/>
      <c r="L10" s="4"/>
      <c r="M10" s="47" t="s">
        <v>37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30.0" customHeight="1">
      <c r="A11" s="1"/>
      <c r="B11" s="30"/>
      <c r="C11" s="48" t="s">
        <v>38</v>
      </c>
      <c r="D11" s="48" t="s">
        <v>39</v>
      </c>
      <c r="E11" s="48" t="s">
        <v>24</v>
      </c>
      <c r="F11" s="48">
        <v>16.0</v>
      </c>
      <c r="G11" s="49">
        <v>45908.0</v>
      </c>
      <c r="H11" s="49">
        <v>45917.0</v>
      </c>
      <c r="I11" s="50">
        <v>10.0</v>
      </c>
      <c r="J11" s="35" t="s">
        <v>25</v>
      </c>
      <c r="K11" s="51" t="s">
        <v>40</v>
      </c>
      <c r="L11" s="4"/>
      <c r="M11" s="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30.0" customHeight="1">
      <c r="A12" s="1"/>
      <c r="B12" s="52"/>
      <c r="C12" s="52" t="s">
        <v>41</v>
      </c>
      <c r="D12" s="53"/>
      <c r="E12" s="53"/>
      <c r="F12" s="54"/>
      <c r="G12" s="55">
        <v>45922.0</v>
      </c>
      <c r="H12" s="55">
        <v>45935.0</v>
      </c>
      <c r="I12" s="56">
        <v>5.0</v>
      </c>
      <c r="J12" s="57"/>
      <c r="K12" s="58"/>
      <c r="L12" s="4"/>
      <c r="M12" s="1"/>
      <c r="N12" s="4"/>
      <c r="O12" s="4"/>
      <c r="P12" s="4"/>
      <c r="Q12" s="4"/>
      <c r="R12" s="59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30.0" customHeight="1">
      <c r="A13" s="1"/>
      <c r="B13" s="30"/>
      <c r="C13" s="48" t="s">
        <v>42</v>
      </c>
      <c r="D13" s="48" t="s">
        <v>43</v>
      </c>
      <c r="E13" s="48" t="s">
        <v>29</v>
      </c>
      <c r="F13" s="48">
        <v>15.0</v>
      </c>
      <c r="G13" s="60">
        <v>45922.0</v>
      </c>
      <c r="H13" s="60">
        <v>45927.0</v>
      </c>
      <c r="I13" s="50">
        <v>5.0</v>
      </c>
      <c r="J13" s="35" t="s">
        <v>25</v>
      </c>
      <c r="K13" s="51" t="s">
        <v>44</v>
      </c>
      <c r="L13" s="4"/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30.0" customHeight="1">
      <c r="A14" s="1"/>
      <c r="B14" s="40"/>
      <c r="C14" s="42" t="s">
        <v>45</v>
      </c>
      <c r="D14" s="41"/>
      <c r="E14" s="41"/>
      <c r="F14" s="42"/>
      <c r="G14" s="43">
        <v>45936.0</v>
      </c>
      <c r="H14" s="43">
        <v>45949.0</v>
      </c>
      <c r="I14" s="44">
        <v>5.0</v>
      </c>
      <c r="J14" s="45"/>
      <c r="K14" s="46"/>
      <c r="L14" s="4"/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30.0" customHeight="1">
      <c r="A15" s="1"/>
      <c r="B15" s="30"/>
      <c r="C15" s="48" t="s">
        <v>46</v>
      </c>
      <c r="D15" s="48" t="s">
        <v>47</v>
      </c>
      <c r="E15" s="48" t="s">
        <v>33</v>
      </c>
      <c r="F15" s="48">
        <v>18.0</v>
      </c>
      <c r="G15" s="49">
        <v>45936.0</v>
      </c>
      <c r="H15" s="49">
        <v>45941.0</v>
      </c>
      <c r="I15" s="50">
        <v>5.0</v>
      </c>
      <c r="J15" s="35" t="s">
        <v>35</v>
      </c>
      <c r="K15" s="51" t="s">
        <v>48</v>
      </c>
      <c r="L15" s="4"/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30.0" customHeight="1">
      <c r="A16" s="1"/>
      <c r="B16" s="52"/>
      <c r="C16" s="54" t="s">
        <v>49</v>
      </c>
      <c r="D16" s="61"/>
      <c r="E16" s="61"/>
      <c r="F16" s="54"/>
      <c r="G16" s="55">
        <v>45950.0</v>
      </c>
      <c r="H16" s="55">
        <v>45963.0</v>
      </c>
      <c r="I16" s="56">
        <v>5.0</v>
      </c>
      <c r="J16" s="57"/>
      <c r="K16" s="58"/>
      <c r="L16" s="4"/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30.0" customHeight="1">
      <c r="A17" s="1"/>
      <c r="B17" s="30"/>
      <c r="C17" s="48" t="s">
        <v>50</v>
      </c>
      <c r="D17" s="48" t="s">
        <v>43</v>
      </c>
      <c r="E17" s="48" t="s">
        <v>24</v>
      </c>
      <c r="F17" s="48">
        <v>18.0</v>
      </c>
      <c r="G17" s="49">
        <v>45950.0</v>
      </c>
      <c r="H17" s="49">
        <v>45955.0</v>
      </c>
      <c r="I17" s="50">
        <v>5.0</v>
      </c>
      <c r="J17" s="35" t="s">
        <v>35</v>
      </c>
      <c r="K17" s="51" t="s">
        <v>51</v>
      </c>
      <c r="L17" s="4"/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30.0" customHeight="1">
      <c r="A18" s="1"/>
      <c r="B18" s="52"/>
      <c r="C18" s="54" t="s">
        <v>52</v>
      </c>
      <c r="D18" s="61"/>
      <c r="E18" s="61"/>
      <c r="F18" s="54"/>
      <c r="G18" s="55">
        <v>45964.0</v>
      </c>
      <c r="H18" s="55">
        <v>45977.0</v>
      </c>
      <c r="I18" s="56">
        <v>5.0</v>
      </c>
      <c r="J18" s="57"/>
      <c r="K18" s="58"/>
      <c r="L18" s="4"/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1"/>
      <c r="B19" s="30"/>
      <c r="C19" s="48" t="s">
        <v>53</v>
      </c>
      <c r="D19" s="48" t="s">
        <v>54</v>
      </c>
      <c r="E19" s="48" t="s">
        <v>33</v>
      </c>
      <c r="F19" s="48">
        <v>15.0</v>
      </c>
      <c r="G19" s="49">
        <v>45964.0</v>
      </c>
      <c r="H19" s="49">
        <v>45969.0</v>
      </c>
      <c r="I19" s="50">
        <v>5.0</v>
      </c>
      <c r="J19" s="35" t="s">
        <v>35</v>
      </c>
      <c r="K19" s="51" t="s">
        <v>55</v>
      </c>
      <c r="L19" s="4"/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1"/>
      <c r="B20" s="30"/>
      <c r="C20" s="48" t="s">
        <v>56</v>
      </c>
      <c r="D20" s="48" t="s">
        <v>57</v>
      </c>
      <c r="E20" s="48" t="s">
        <v>29</v>
      </c>
      <c r="F20" s="48">
        <v>14.0</v>
      </c>
      <c r="G20" s="49">
        <v>45964.0</v>
      </c>
      <c r="H20" s="49">
        <v>45970.0</v>
      </c>
      <c r="I20" s="50">
        <v>5.0</v>
      </c>
      <c r="J20" s="35" t="s">
        <v>35</v>
      </c>
      <c r="K20" s="51" t="s">
        <v>58</v>
      </c>
      <c r="L20" s="4"/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30.0" customHeight="1">
      <c r="A21" s="1"/>
      <c r="B21" s="52"/>
      <c r="C21" s="54" t="s">
        <v>59</v>
      </c>
      <c r="D21" s="61"/>
      <c r="E21" s="61"/>
      <c r="F21" s="54"/>
      <c r="G21" s="55">
        <v>45978.0</v>
      </c>
      <c r="H21" s="55">
        <v>45991.0</v>
      </c>
      <c r="I21" s="56">
        <v>5.0</v>
      </c>
      <c r="J21" s="57"/>
      <c r="K21" s="58"/>
      <c r="L21" s="4"/>
      <c r="M21" s="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30.0" customHeight="1">
      <c r="A22" s="1"/>
      <c r="B22" s="30"/>
      <c r="C22" s="48" t="s">
        <v>60</v>
      </c>
      <c r="D22" s="48" t="s">
        <v>43</v>
      </c>
      <c r="E22" s="62" t="s">
        <v>24</v>
      </c>
      <c r="F22" s="48">
        <v>13.0</v>
      </c>
      <c r="G22" s="49">
        <v>45978.0</v>
      </c>
      <c r="H22" s="49">
        <v>45985.0</v>
      </c>
      <c r="I22" s="50">
        <v>5.0</v>
      </c>
      <c r="J22" s="35" t="s">
        <v>35</v>
      </c>
      <c r="K22" s="51" t="s">
        <v>61</v>
      </c>
      <c r="L22" s="4"/>
      <c r="M22" s="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30.0" customHeight="1">
      <c r="A23" s="1"/>
      <c r="B23" s="52"/>
      <c r="C23" s="54" t="s">
        <v>62</v>
      </c>
      <c r="D23" s="61"/>
      <c r="E23" s="61"/>
      <c r="F23" s="54"/>
      <c r="G23" s="55">
        <v>45992.0</v>
      </c>
      <c r="H23" s="55">
        <v>46005.0</v>
      </c>
      <c r="I23" s="56">
        <v>5.0</v>
      </c>
      <c r="J23" s="57"/>
      <c r="K23" s="58"/>
      <c r="L23" s="4"/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30.0" customHeight="1">
      <c r="A24" s="1"/>
      <c r="B24" s="30"/>
      <c r="C24" s="48" t="s">
        <v>63</v>
      </c>
      <c r="D24" s="48" t="s">
        <v>64</v>
      </c>
      <c r="E24" s="48" t="s">
        <v>33</v>
      </c>
      <c r="F24" s="48">
        <v>18.0</v>
      </c>
      <c r="G24" s="49">
        <v>45992.0</v>
      </c>
      <c r="H24" s="49">
        <v>45999.0</v>
      </c>
      <c r="I24" s="50">
        <v>5.0</v>
      </c>
      <c r="J24" s="35" t="s">
        <v>35</v>
      </c>
      <c r="K24" s="51" t="s">
        <v>65</v>
      </c>
      <c r="L24" s="4"/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30.0" customHeight="1">
      <c r="A25" s="1"/>
      <c r="B25" s="52"/>
      <c r="C25" s="54" t="s">
        <v>66</v>
      </c>
      <c r="D25" s="61"/>
      <c r="E25" s="61"/>
      <c r="F25" s="54"/>
      <c r="G25" s="55">
        <v>46006.0</v>
      </c>
      <c r="H25" s="55">
        <v>46019.0</v>
      </c>
      <c r="I25" s="56">
        <v>5.0</v>
      </c>
      <c r="J25" s="57"/>
      <c r="K25" s="58"/>
      <c r="L25" s="4"/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30.0" customHeight="1">
      <c r="A26" s="1"/>
      <c r="B26" s="30"/>
      <c r="C26" s="48" t="s">
        <v>67</v>
      </c>
      <c r="D26" s="48" t="s">
        <v>57</v>
      </c>
      <c r="E26" s="48" t="s">
        <v>29</v>
      </c>
      <c r="F26" s="48">
        <v>21.0</v>
      </c>
      <c r="G26" s="49">
        <v>46006.0</v>
      </c>
      <c r="H26" s="49">
        <v>46011.0</v>
      </c>
      <c r="I26" s="50">
        <v>5.0</v>
      </c>
      <c r="J26" s="35" t="s">
        <v>35</v>
      </c>
      <c r="K26" s="51" t="s">
        <v>68</v>
      </c>
      <c r="L26" s="4"/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30.0" customHeight="1">
      <c r="A27" s="1"/>
      <c r="B27" s="52"/>
      <c r="C27" s="54" t="s">
        <v>69</v>
      </c>
      <c r="D27" s="61"/>
      <c r="E27" s="61"/>
      <c r="F27" s="54"/>
      <c r="G27" s="55">
        <v>46020.0</v>
      </c>
      <c r="H27" s="55">
        <v>45668.0</v>
      </c>
      <c r="I27" s="56">
        <v>5.0</v>
      </c>
      <c r="J27" s="57"/>
      <c r="K27" s="58"/>
      <c r="L27" s="4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30.0" customHeight="1">
      <c r="A28" s="1"/>
      <c r="B28" s="30"/>
      <c r="C28" s="48" t="s">
        <v>70</v>
      </c>
      <c r="D28" s="48" t="s">
        <v>71</v>
      </c>
      <c r="E28" s="48" t="s">
        <v>24</v>
      </c>
      <c r="F28" s="48">
        <v>13.0</v>
      </c>
      <c r="G28" s="49">
        <v>46020.0</v>
      </c>
      <c r="H28" s="49">
        <v>45662.0</v>
      </c>
      <c r="I28" s="50">
        <v>5.0</v>
      </c>
      <c r="J28" s="35" t="s">
        <v>35</v>
      </c>
      <c r="K28" s="51" t="s">
        <v>72</v>
      </c>
      <c r="L28" s="4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30.0" customHeight="1">
      <c r="A29" s="1"/>
      <c r="B29" s="52"/>
      <c r="C29" s="54" t="s">
        <v>73</v>
      </c>
      <c r="D29" s="61"/>
      <c r="E29" s="61"/>
      <c r="F29" s="54"/>
      <c r="G29" s="55">
        <v>45669.0</v>
      </c>
      <c r="H29" s="55">
        <v>45682.0</v>
      </c>
      <c r="I29" s="56">
        <v>5.0</v>
      </c>
      <c r="J29" s="57"/>
      <c r="K29" s="58"/>
      <c r="L29" s="4"/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30.0" customHeight="1">
      <c r="A30" s="1"/>
      <c r="B30" s="30"/>
      <c r="C30" s="48" t="s">
        <v>74</v>
      </c>
      <c r="D30" s="48" t="s">
        <v>75</v>
      </c>
      <c r="E30" s="48" t="s">
        <v>33</v>
      </c>
      <c r="F30" s="48">
        <v>13.0</v>
      </c>
      <c r="G30" s="49">
        <v>45669.0</v>
      </c>
      <c r="H30" s="49">
        <v>45676.0</v>
      </c>
      <c r="I30" s="50">
        <v>5.0</v>
      </c>
      <c r="J30" s="35" t="s">
        <v>35</v>
      </c>
      <c r="K30" s="51" t="s">
        <v>76</v>
      </c>
      <c r="L30" s="4"/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30.0" customHeight="1">
      <c r="A31" s="1"/>
      <c r="B31" s="52"/>
      <c r="C31" s="54" t="s">
        <v>77</v>
      </c>
      <c r="D31" s="61"/>
      <c r="E31" s="61"/>
      <c r="F31" s="54"/>
      <c r="G31" s="55">
        <v>45683.0</v>
      </c>
      <c r="H31" s="55">
        <v>45696.0</v>
      </c>
      <c r="I31" s="56">
        <v>5.0</v>
      </c>
      <c r="J31" s="57"/>
      <c r="K31" s="58"/>
      <c r="L31" s="4"/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30.0" customHeight="1">
      <c r="A32" s="1"/>
      <c r="B32" s="30"/>
      <c r="C32" s="48" t="s">
        <v>78</v>
      </c>
      <c r="D32" s="48" t="s">
        <v>79</v>
      </c>
      <c r="E32" s="48" t="s">
        <v>29</v>
      </c>
      <c r="F32" s="48">
        <v>13.0</v>
      </c>
      <c r="G32" s="49">
        <v>45683.0</v>
      </c>
      <c r="H32" s="49">
        <v>45691.0</v>
      </c>
      <c r="I32" s="50">
        <v>5.0</v>
      </c>
      <c r="J32" s="35" t="s">
        <v>35</v>
      </c>
      <c r="K32" s="51" t="s">
        <v>80</v>
      </c>
      <c r="L32" s="4"/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30.0" customHeight="1">
      <c r="A33" s="1"/>
      <c r="B33" s="52"/>
      <c r="C33" s="54" t="s">
        <v>81</v>
      </c>
      <c r="D33" s="61"/>
      <c r="E33" s="61"/>
      <c r="F33" s="54"/>
      <c r="G33" s="55">
        <v>45697.0</v>
      </c>
      <c r="H33" s="55">
        <v>46075.0</v>
      </c>
      <c r="I33" s="56">
        <v>5.0</v>
      </c>
      <c r="J33" s="57"/>
      <c r="K33" s="58"/>
      <c r="L33" s="4"/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30.0" customHeight="1">
      <c r="A34" s="1"/>
      <c r="B34" s="30"/>
      <c r="C34" s="48" t="s">
        <v>82</v>
      </c>
      <c r="D34" s="48" t="s">
        <v>83</v>
      </c>
      <c r="E34" s="48" t="s">
        <v>24</v>
      </c>
      <c r="F34" s="48">
        <v>21.0</v>
      </c>
      <c r="G34" s="49">
        <v>45697.0</v>
      </c>
      <c r="H34" s="49">
        <v>46068.0</v>
      </c>
      <c r="I34" s="50">
        <v>5.0</v>
      </c>
      <c r="J34" s="35" t="s">
        <v>35</v>
      </c>
      <c r="K34" s="51" t="s">
        <v>84</v>
      </c>
      <c r="L34" s="4"/>
      <c r="M34" s="1"/>
      <c r="N34" s="4"/>
      <c r="O34" s="4"/>
      <c r="P34" s="4"/>
      <c r="Q34" s="4"/>
      <c r="R34" s="63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30.0" customHeight="1">
      <c r="A35" s="1"/>
      <c r="B35" s="52"/>
      <c r="C35" s="54" t="s">
        <v>85</v>
      </c>
      <c r="D35" s="61"/>
      <c r="E35" s="61"/>
      <c r="F35" s="54"/>
      <c r="G35" s="55">
        <v>45711.0</v>
      </c>
      <c r="H35" s="55">
        <v>46088.0</v>
      </c>
      <c r="I35" s="56">
        <v>5.0</v>
      </c>
      <c r="J35" s="57"/>
      <c r="K35" s="58"/>
      <c r="L35" s="4"/>
      <c r="M35" s="1"/>
      <c r="N35" s="4"/>
      <c r="O35" s="4"/>
      <c r="P35" s="4"/>
      <c r="Q35" s="4"/>
      <c r="R35" s="64">
        <v>46103.0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30.0" customHeight="1">
      <c r="A36" s="1"/>
      <c r="B36" s="30"/>
      <c r="C36" s="48" t="s">
        <v>86</v>
      </c>
      <c r="D36" s="48" t="s">
        <v>87</v>
      </c>
      <c r="E36" s="48" t="s">
        <v>33</v>
      </c>
      <c r="F36" s="48">
        <v>29.0</v>
      </c>
      <c r="G36" s="49">
        <v>45711.0</v>
      </c>
      <c r="H36" s="49">
        <v>46084.0</v>
      </c>
      <c r="I36" s="50">
        <v>10.0</v>
      </c>
      <c r="J36" s="35" t="s">
        <v>35</v>
      </c>
      <c r="K36" s="51" t="s">
        <v>88</v>
      </c>
      <c r="L36" s="4"/>
      <c r="M36" s="1"/>
      <c r="N36" s="4"/>
      <c r="O36" s="4"/>
      <c r="P36" s="4"/>
      <c r="Q36" s="4"/>
      <c r="R36" s="64">
        <v>46116.0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30.0" customHeight="1">
      <c r="A37" s="1"/>
      <c r="B37" s="52"/>
      <c r="C37" s="54" t="s">
        <v>89</v>
      </c>
      <c r="D37" s="61"/>
      <c r="E37" s="61"/>
      <c r="F37" s="54"/>
      <c r="G37" s="55">
        <v>46089.0</v>
      </c>
      <c r="H37" s="55">
        <v>46102.0</v>
      </c>
      <c r="I37" s="56">
        <v>5.0</v>
      </c>
      <c r="J37" s="57"/>
      <c r="K37" s="58"/>
      <c r="L37" s="4"/>
      <c r="M37" s="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30.0" customHeight="1">
      <c r="A38" s="1"/>
      <c r="B38" s="30"/>
      <c r="C38" s="48" t="s">
        <v>90</v>
      </c>
      <c r="D38" s="48" t="s">
        <v>91</v>
      </c>
      <c r="E38" s="48" t="s">
        <v>29</v>
      </c>
      <c r="F38" s="48">
        <v>13.0</v>
      </c>
      <c r="G38" s="49">
        <v>46089.0</v>
      </c>
      <c r="H38" s="49">
        <v>46097.0</v>
      </c>
      <c r="I38" s="50">
        <v>5.0</v>
      </c>
      <c r="J38" s="35" t="s">
        <v>35</v>
      </c>
      <c r="K38" s="51" t="s">
        <v>92</v>
      </c>
      <c r="L38" s="4"/>
      <c r="M38" s="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30.0" customHeight="1">
      <c r="A39" s="1"/>
      <c r="B39" s="52"/>
      <c r="C39" s="54" t="s">
        <v>93</v>
      </c>
      <c r="D39" s="61"/>
      <c r="E39" s="61"/>
      <c r="F39" s="54"/>
      <c r="G39" s="55">
        <v>46103.0</v>
      </c>
      <c r="H39" s="55">
        <v>46116.0</v>
      </c>
      <c r="I39" s="56">
        <v>5.0</v>
      </c>
      <c r="J39" s="57"/>
      <c r="K39" s="58"/>
      <c r="L39" s="4"/>
      <c r="M39" s="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30.0" customHeight="1">
      <c r="A40" s="1"/>
      <c r="B40" s="30"/>
      <c r="C40" s="48" t="s">
        <v>94</v>
      </c>
      <c r="D40" s="48" t="s">
        <v>95</v>
      </c>
      <c r="E40" s="48" t="s">
        <v>24</v>
      </c>
      <c r="F40" s="48">
        <v>13.0</v>
      </c>
      <c r="G40" s="49">
        <v>46103.0</v>
      </c>
      <c r="H40" s="49">
        <v>46116.0</v>
      </c>
      <c r="I40" s="50">
        <v>5.0</v>
      </c>
      <c r="J40" s="35" t="s">
        <v>35</v>
      </c>
      <c r="K40" s="51" t="s">
        <v>96</v>
      </c>
      <c r="L40" s="4"/>
      <c r="M40" s="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9.75" customHeight="1">
      <c r="A41" s="1"/>
      <c r="B41" s="1"/>
      <c r="C41" s="4"/>
      <c r="D41" s="4"/>
      <c r="E41" s="4"/>
      <c r="F41" s="4"/>
      <c r="G41" s="4"/>
      <c r="H41" s="4"/>
      <c r="I41" s="59"/>
      <c r="J41" s="4"/>
      <c r="K41" s="4"/>
      <c r="L41" s="4"/>
      <c r="M41" s="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328.5" customHeight="1">
      <c r="A42" s="1"/>
      <c r="B42" s="1"/>
      <c r="C42" s="4"/>
      <c r="D42" s="4"/>
      <c r="E42" s="4"/>
      <c r="F42" s="4"/>
      <c r="G42" s="4"/>
      <c r="H42" s="4"/>
      <c r="I42" s="59"/>
      <c r="J42" s="4"/>
      <c r="K42" s="4"/>
      <c r="L42" s="4"/>
      <c r="M42" s="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2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37.5" customHeight="1">
      <c r="A44" s="1"/>
      <c r="B44" s="65"/>
      <c r="C44" s="66"/>
      <c r="D44" s="66"/>
      <c r="E44" s="66"/>
      <c r="F44" s="66"/>
      <c r="G44" s="66"/>
      <c r="H44" s="4"/>
      <c r="I44" s="4"/>
      <c r="J44" s="4"/>
      <c r="K44" s="4"/>
      <c r="L44" s="4"/>
      <c r="M44" s="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37.5" customHeight="1">
      <c r="A45" s="1"/>
      <c r="B45" s="66"/>
      <c r="C45" s="66"/>
      <c r="D45" s="66"/>
      <c r="E45" s="66"/>
      <c r="F45" s="66"/>
      <c r="G45" s="66"/>
      <c r="H45" s="4"/>
      <c r="I45" s="4"/>
      <c r="J45" s="4"/>
      <c r="K45" s="4"/>
      <c r="L45" s="4"/>
      <c r="M45" s="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37.5" customHeight="1">
      <c r="A46" s="1"/>
      <c r="B46" s="66"/>
      <c r="C46" s="66"/>
      <c r="D46" s="66"/>
      <c r="E46" s="66"/>
      <c r="F46" s="66"/>
      <c r="G46" s="66"/>
      <c r="H46" s="4"/>
      <c r="I46" s="4"/>
      <c r="J46" s="4"/>
      <c r="K46" s="4"/>
      <c r="L46" s="4"/>
      <c r="M46" s="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37.5" customHeight="1">
      <c r="A47" s="1"/>
      <c r="B47" s="66"/>
      <c r="C47" s="66"/>
      <c r="D47" s="66"/>
      <c r="E47" s="66"/>
      <c r="F47" s="66"/>
      <c r="G47" s="66"/>
      <c r="H47" s="4"/>
      <c r="I47" s="4"/>
      <c r="J47" s="4"/>
      <c r="K47" s="4"/>
      <c r="L47" s="4"/>
      <c r="M47" s="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37.5" customHeight="1">
      <c r="A48" s="1"/>
      <c r="B48" s="66"/>
      <c r="C48" s="66"/>
      <c r="D48" s="66"/>
      <c r="E48" s="66"/>
      <c r="F48" s="66"/>
      <c r="G48" s="66"/>
      <c r="H48" s="4"/>
      <c r="I48" s="4"/>
      <c r="J48" s="4"/>
      <c r="K48" s="4"/>
      <c r="L48" s="4"/>
      <c r="M48" s="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37.5" customHeight="1">
      <c r="A49" s="1"/>
      <c r="B49" s="66"/>
      <c r="C49" s="66"/>
      <c r="D49" s="66"/>
      <c r="E49" s="66"/>
      <c r="F49" s="66"/>
      <c r="G49" s="66"/>
      <c r="H49" s="4"/>
      <c r="I49" s="4"/>
      <c r="J49" s="4"/>
      <c r="K49" s="4"/>
      <c r="L49" s="4"/>
      <c r="M49" s="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1"/>
      <c r="B50" s="66"/>
      <c r="C50" s="66"/>
      <c r="D50" s="66"/>
      <c r="E50" s="66"/>
      <c r="F50" s="66"/>
      <c r="G50" s="66"/>
      <c r="H50" s="4"/>
      <c r="I50" s="4"/>
      <c r="J50" s="4"/>
      <c r="K50" s="4"/>
      <c r="L50" s="4"/>
      <c r="M50" s="67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1"/>
      <c r="B51" s="66"/>
      <c r="C51" s="66"/>
      <c r="D51" s="66"/>
      <c r="E51" s="66"/>
      <c r="F51" s="66"/>
      <c r="G51" s="66"/>
      <c r="H51" s="4"/>
      <c r="I51" s="4"/>
      <c r="J51" s="4"/>
      <c r="K51" s="4"/>
      <c r="L51" s="4"/>
      <c r="M51" s="67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1"/>
      <c r="B52" s="66"/>
      <c r="C52" s="66"/>
      <c r="D52" s="66"/>
      <c r="E52" s="66"/>
      <c r="F52" s="66"/>
      <c r="G52" s="66"/>
      <c r="H52" s="4"/>
      <c r="I52" s="4"/>
      <c r="J52" s="4"/>
      <c r="K52" s="4"/>
      <c r="L52" s="4"/>
      <c r="M52" s="67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1"/>
      <c r="B53" s="66"/>
      <c r="C53" s="66"/>
      <c r="D53" s="66"/>
      <c r="E53" s="66"/>
      <c r="F53" s="66"/>
      <c r="G53" s="66"/>
      <c r="H53" s="4"/>
      <c r="I53" s="4"/>
      <c r="J53" s="4"/>
      <c r="K53" s="4"/>
      <c r="L53" s="4"/>
      <c r="M53" s="67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1"/>
      <c r="B54" s="66"/>
      <c r="C54" s="66"/>
      <c r="D54" s="66"/>
      <c r="E54" s="66"/>
      <c r="F54" s="66"/>
      <c r="G54" s="66"/>
      <c r="H54" s="4"/>
      <c r="I54" s="4"/>
      <c r="J54" s="4"/>
      <c r="K54" s="4"/>
      <c r="L54" s="4"/>
      <c r="M54" s="67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1"/>
      <c r="B55" s="66"/>
      <c r="C55" s="66"/>
      <c r="D55" s="66"/>
      <c r="E55" s="66"/>
      <c r="F55" s="66"/>
      <c r="G55" s="66"/>
      <c r="H55" s="4"/>
      <c r="I55" s="4"/>
      <c r="J55" s="4"/>
      <c r="K55" s="4"/>
      <c r="L55" s="4"/>
      <c r="M55" s="67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1"/>
      <c r="B56" s="66"/>
      <c r="C56" s="66"/>
      <c r="D56" s="66"/>
      <c r="E56" s="66"/>
      <c r="F56" s="66"/>
      <c r="G56" s="66"/>
      <c r="H56" s="4"/>
      <c r="I56" s="4"/>
      <c r="J56" s="4"/>
      <c r="K56" s="4"/>
      <c r="L56" s="4"/>
      <c r="M56" s="67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1"/>
      <c r="B57" s="66"/>
      <c r="C57" s="66"/>
      <c r="D57" s="66"/>
      <c r="E57" s="66"/>
      <c r="F57" s="66"/>
      <c r="G57" s="66"/>
      <c r="H57" s="4"/>
      <c r="I57" s="4"/>
      <c r="J57" s="4"/>
      <c r="K57" s="4"/>
      <c r="L57" s="4"/>
      <c r="M57" s="67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1"/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67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67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67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1"/>
      <c r="B61" s="1"/>
      <c r="C61" s="4"/>
      <c r="D61" s="4"/>
      <c r="E61" s="4"/>
      <c r="F61" s="4"/>
      <c r="G61" s="4"/>
      <c r="H61" s="4"/>
      <c r="I61" s="4"/>
      <c r="J61" s="4"/>
      <c r="K61" s="4"/>
      <c r="L61" s="4"/>
      <c r="M61" s="67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1"/>
      <c r="B62" s="1"/>
      <c r="C62" s="4"/>
      <c r="D62" s="4"/>
      <c r="E62" s="4"/>
      <c r="F62" s="4"/>
      <c r="G62" s="4"/>
      <c r="H62" s="4"/>
      <c r="I62" s="4"/>
      <c r="J62" s="4"/>
      <c r="K62" s="4"/>
      <c r="L62" s="4"/>
      <c r="M62" s="67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1"/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67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1"/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67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1"/>
      <c r="B65" s="1"/>
      <c r="C65" s="4"/>
      <c r="D65" s="4"/>
      <c r="E65" s="4"/>
      <c r="F65" s="4"/>
      <c r="G65" s="4"/>
      <c r="H65" s="4"/>
      <c r="I65" s="4"/>
      <c r="J65" s="4"/>
      <c r="K65" s="4"/>
      <c r="L65" s="4"/>
      <c r="M65" s="67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1"/>
      <c r="B66" s="1"/>
      <c r="C66" s="4"/>
      <c r="D66" s="4"/>
      <c r="E66" s="4"/>
      <c r="F66" s="4"/>
      <c r="G66" s="4"/>
      <c r="H66" s="4"/>
      <c r="I66" s="4"/>
      <c r="J66" s="4"/>
      <c r="K66" s="4"/>
      <c r="L66" s="4"/>
      <c r="M66" s="67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1"/>
      <c r="B67" s="1"/>
      <c r="C67" s="4"/>
      <c r="D67" s="4"/>
      <c r="E67" s="4"/>
      <c r="F67" s="4"/>
      <c r="G67" s="4"/>
      <c r="H67" s="4"/>
      <c r="I67" s="4"/>
      <c r="J67" s="4"/>
      <c r="K67" s="4"/>
      <c r="L67" s="4"/>
      <c r="M67" s="67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1"/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67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1"/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67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1"/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67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1"/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67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1"/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67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1"/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67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1"/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67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1"/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67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1"/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67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1"/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67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1"/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67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1"/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67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1"/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67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1"/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67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1"/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67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1"/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67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1"/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67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1"/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67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1"/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67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67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1"/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67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1"/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67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1"/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6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1"/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6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1"/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6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6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1"/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6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1"/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6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1"/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6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1"/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6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1"/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6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6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1"/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6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1"/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6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1"/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6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1"/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6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1"/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6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6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1"/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6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1"/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6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1"/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6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1"/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6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1"/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6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1"/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6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1"/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6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1"/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6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1"/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6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1"/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6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1"/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6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1"/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6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1"/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6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1"/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6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1"/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6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6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1"/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6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1"/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6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1"/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6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1"/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6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1"/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6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6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1"/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6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1"/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6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1"/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6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1"/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6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1"/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6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6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1"/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6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1"/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6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1"/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6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1"/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6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1"/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6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6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1"/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6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1"/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6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1"/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6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1"/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6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1"/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6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6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1"/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6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1"/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6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1"/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6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1"/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6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1"/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6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6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1"/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6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1"/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6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1"/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6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1"/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6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1"/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6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6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1"/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6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1"/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6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1"/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6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1"/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6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1"/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6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6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1"/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6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1"/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6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1"/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6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1"/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6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1"/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6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6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1"/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6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1"/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6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1"/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6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1"/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6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1"/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6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1"/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6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1"/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6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1"/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6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1"/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6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1"/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6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1"/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6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1"/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6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1"/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6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1"/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6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1"/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6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1"/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6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1"/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6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1"/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6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1"/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6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1"/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6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1"/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6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1"/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6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1"/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6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1"/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6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1"/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6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1"/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6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1"/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6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1"/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6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1"/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6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1"/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6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1"/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6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1"/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6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1"/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6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1"/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6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1"/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6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1"/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6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1"/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6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1"/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6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1"/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6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1"/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6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1"/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6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1"/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6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1"/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6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1"/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6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1"/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6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6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1"/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6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1"/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6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1"/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6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1"/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6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1"/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6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1"/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6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1"/>
      <c r="B222" s="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6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1"/>
      <c r="B223" s="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67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1"/>
      <c r="B224" s="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67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1"/>
      <c r="B225" s="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67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1"/>
      <c r="B226" s="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67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1"/>
      <c r="B227" s="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67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1"/>
      <c r="B228" s="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67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1"/>
      <c r="B229" s="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67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1"/>
      <c r="B230" s="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67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1"/>
      <c r="B231" s="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67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1"/>
      <c r="B232" s="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67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1"/>
      <c r="B233" s="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67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1"/>
      <c r="B234" s="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67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1"/>
      <c r="B235" s="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67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1"/>
      <c r="B236" s="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67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1"/>
      <c r="B237" s="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67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1"/>
      <c r="B238" s="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67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1"/>
      <c r="B239" s="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67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1"/>
      <c r="B240" s="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67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1"/>
      <c r="B241" s="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6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1"/>
      <c r="B242" s="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6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1"/>
      <c r="B243" s="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67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1"/>
      <c r="B244" s="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67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67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67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67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67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67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67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67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67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67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67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67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67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67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67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67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67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67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67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67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67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67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67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67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67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67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67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67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67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67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67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67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67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67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67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67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67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67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67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67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67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67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67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67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67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67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67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67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67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67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67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67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67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67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67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67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67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67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67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67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67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67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67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67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67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67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67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67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67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67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67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67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67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67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67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67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67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67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67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67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67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67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67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67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67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67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67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67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67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67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67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67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67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67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67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67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67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67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67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67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67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67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67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67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67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67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67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67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67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67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67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67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67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67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67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67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67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67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67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67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67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67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67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67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67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67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67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67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67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67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67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67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67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67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67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67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67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67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67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67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67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67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67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67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67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67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67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67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67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67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67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67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67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67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67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67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67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67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67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67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67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67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67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67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67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67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67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67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67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67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67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67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67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67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67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67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67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67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67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67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67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67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67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67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67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67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67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67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67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67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67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67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67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67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67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67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67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67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67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67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67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67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67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67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67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67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67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67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67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67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67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67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67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67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67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67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67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67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67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67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67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67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67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67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67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67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67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67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67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67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67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67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67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67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67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67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67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67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67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67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67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67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67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67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67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67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67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67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67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67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67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67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67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67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67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67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67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67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67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67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67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67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67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67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67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67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67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67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67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67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67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67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67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67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67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67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67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67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67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67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67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67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67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67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67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67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67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67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67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67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67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67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67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67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67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67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67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67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67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67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67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67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67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67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67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67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67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67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67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67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67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67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67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67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67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67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67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67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67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67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67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67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67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67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67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67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67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67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67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67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67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67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67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67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67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67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67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67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67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67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67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67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67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67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67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67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67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67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67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67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67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67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67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67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67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67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67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67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67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67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67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67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67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67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67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67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67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67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67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67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67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67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67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67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67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67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67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67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67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67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67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67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67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67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67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67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67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67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67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67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67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67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67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67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67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67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67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67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67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67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67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67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67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67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67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67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67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67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67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67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67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67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67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67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67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67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67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67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67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67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67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67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67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67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67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67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67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67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67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67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67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67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67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67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67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67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67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67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67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67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67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67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67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67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67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67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67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67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67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67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67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67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67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67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67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67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67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67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67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67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67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67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67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67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67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67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67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67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67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67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67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67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67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67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67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67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67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67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67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67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67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67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67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67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67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67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67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67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67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67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67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67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67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67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67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67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67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67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67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67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67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67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67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67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67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67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67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67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67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67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67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67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67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67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67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67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67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67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67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67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67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67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67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67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67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67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67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67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67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67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67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67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67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67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67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67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67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67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67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67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67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67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67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67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67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67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67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67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67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67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67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67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67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67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67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67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67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67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67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67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67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67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67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67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67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67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67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67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67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67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67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67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67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67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67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67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67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67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67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67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67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67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67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67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67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67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67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67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67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67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67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67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67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67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67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67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67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67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67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67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67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67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67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67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67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67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67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67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67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67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67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67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67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67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67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67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67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67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67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67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67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67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67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67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67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67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67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67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67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67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67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67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67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67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67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67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67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67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67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67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67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67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67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67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67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67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67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67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67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67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67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67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67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67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67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67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67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67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67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67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67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67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67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67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67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67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67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67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67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67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67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67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67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67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67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67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67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67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67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67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67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67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67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67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67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67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67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67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67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67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67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67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67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67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67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67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67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67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67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67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67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67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67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67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67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67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67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67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67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67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67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67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67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67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67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67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67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67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67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67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67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67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67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67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67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67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67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67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67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67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67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67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67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67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67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67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67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67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67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67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67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67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67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67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67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67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67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67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67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67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67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67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67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67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67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67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67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67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67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67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67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67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67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67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67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67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67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67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67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67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67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67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67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67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67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67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67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67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67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67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</sheetData>
  <mergeCells count="2">
    <mergeCell ref="D2:F2"/>
    <mergeCell ref="D3:F3"/>
  </mergeCells>
  <conditionalFormatting sqref="J6:J40">
    <cfRule type="containsText" dxfId="0" priority="1" operator="containsText" text="On Hold">
      <formula>NOT(ISERROR(SEARCH(("On Hold"),(J6))))</formula>
    </cfRule>
  </conditionalFormatting>
  <conditionalFormatting sqref="J6:J40">
    <cfRule type="containsText" dxfId="1" priority="2" operator="containsText" text="Not Started">
      <formula>NOT(ISERROR(SEARCH(("Not Started"),(J6))))</formula>
    </cfRule>
  </conditionalFormatting>
  <conditionalFormatting sqref="J6:J40">
    <cfRule type="containsText" dxfId="2" priority="3" operator="containsText" text="In Progress">
      <formula>NOT(ISERROR(SEARCH(("In Progress"),(J6))))</formula>
    </cfRule>
  </conditionalFormatting>
  <conditionalFormatting sqref="J6:J40">
    <cfRule type="containsText" dxfId="3" priority="4" operator="containsText" text="Complete">
      <formula>NOT(ISERROR(SEARCH(("Complete"),(J6))))</formula>
    </cfRule>
  </conditionalFormatting>
  <conditionalFormatting sqref="J6:J40">
    <cfRule type="containsText" dxfId="4" priority="5" operator="containsText" text="Overdue">
      <formula>NOT(ISERROR(SEARCH(("Overdue"),(J6))))</formula>
    </cfRule>
  </conditionalFormatting>
  <dataValidations>
    <dataValidation type="list" allowBlank="1" showErrorMessage="1" sqref="J6:J40">
      <formula1>$M$7:$M$11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56"/>
    <col customWidth="1" min="2" max="2" width="5.78"/>
    <col customWidth="1" min="3" max="4" width="15.44"/>
    <col customWidth="1" min="5" max="6" width="13.22"/>
    <col customWidth="1" min="7" max="7" width="8.56"/>
    <col customWidth="1" min="8" max="8" width="8.0"/>
    <col customWidth="1" min="9" max="9" width="10.0"/>
    <col customWidth="1" min="10" max="10" width="10.78"/>
    <col customWidth="1" min="11" max="11" width="39.22"/>
    <col customWidth="1" min="12" max="12" width="2.56"/>
    <col customWidth="1" min="13" max="13" width="10.78"/>
    <col customWidth="1" min="14" max="33" width="8.56"/>
  </cols>
  <sheetData>
    <row r="1" ht="49.5" customHeight="1">
      <c r="A1" s="1"/>
      <c r="B1" s="68"/>
      <c r="C1" s="68"/>
      <c r="D1" s="1"/>
      <c r="E1" s="1"/>
      <c r="F1" s="1"/>
      <c r="G1" s="69"/>
      <c r="H1" s="69"/>
      <c r="I1" s="69"/>
      <c r="J1" s="1"/>
      <c r="K1" s="1"/>
      <c r="L1" s="1"/>
      <c r="M1" s="6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5.0" customHeight="1">
      <c r="A2" s="1"/>
      <c r="B2" s="70" t="s">
        <v>97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3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34.5" customHeight="1">
      <c r="A3" s="1"/>
      <c r="B3" s="1"/>
      <c r="C3" s="5" t="s">
        <v>1</v>
      </c>
      <c r="D3" s="71" t="s">
        <v>98</v>
      </c>
      <c r="E3" s="72"/>
      <c r="F3" s="73"/>
      <c r="G3" s="9" t="s">
        <v>3</v>
      </c>
      <c r="H3" s="10" t="s">
        <v>4</v>
      </c>
      <c r="I3" s="11" t="s">
        <v>5</v>
      </c>
      <c r="J3" s="12" t="s">
        <v>6</v>
      </c>
      <c r="K3" s="13"/>
      <c r="L3" s="1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34.5" customHeight="1">
      <c r="A4" s="1"/>
      <c r="B4" s="1"/>
      <c r="C4" s="14" t="s">
        <v>7</v>
      </c>
      <c r="D4" s="71" t="s">
        <v>99</v>
      </c>
      <c r="E4" s="72"/>
      <c r="F4" s="73"/>
      <c r="G4" s="74">
        <v>45902.0</v>
      </c>
      <c r="H4" s="75">
        <v>45940.0</v>
      </c>
      <c r="I4" s="16">
        <v>0.35</v>
      </c>
      <c r="J4" s="12" t="s">
        <v>9</v>
      </c>
      <c r="K4" s="13"/>
      <c r="L4" s="1"/>
      <c r="M4" s="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9.75" customHeight="1">
      <c r="A5" s="1"/>
      <c r="B5" s="1"/>
      <c r="C5" s="4"/>
      <c r="D5" s="4"/>
      <c r="E5" s="4"/>
      <c r="F5" s="4"/>
      <c r="G5" s="4"/>
      <c r="H5" s="4"/>
      <c r="I5" s="4"/>
      <c r="J5" s="4"/>
      <c r="K5" s="4"/>
      <c r="L5" s="4"/>
      <c r="M5" s="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31.5" customHeight="1">
      <c r="A6" s="1"/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18" t="s">
        <v>15</v>
      </c>
      <c r="H6" s="18" t="s">
        <v>16</v>
      </c>
      <c r="I6" s="18" t="s">
        <v>17</v>
      </c>
      <c r="J6" s="18" t="s">
        <v>18</v>
      </c>
      <c r="K6" s="19" t="s">
        <v>19</v>
      </c>
      <c r="L6" s="4"/>
      <c r="M6" s="20" t="s">
        <v>18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30.0" customHeight="1">
      <c r="A7" s="1"/>
      <c r="B7" s="21"/>
      <c r="C7" s="22" t="s">
        <v>20</v>
      </c>
      <c r="D7" s="22"/>
      <c r="E7" s="22" t="s">
        <v>99</v>
      </c>
      <c r="F7" s="22"/>
      <c r="G7" s="76">
        <v>45903.0</v>
      </c>
      <c r="H7" s="76">
        <v>45913.0</v>
      </c>
      <c r="I7" s="77">
        <f t="shared" ref="I7:I18" si="1">H7-G7</f>
        <v>10</v>
      </c>
      <c r="J7" s="78" t="s">
        <v>21</v>
      </c>
      <c r="K7" s="79"/>
      <c r="L7" s="4"/>
      <c r="M7" s="29" t="s">
        <v>21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30.0" customHeight="1">
      <c r="A8" s="1"/>
      <c r="B8" s="30"/>
      <c r="C8" s="80" t="s">
        <v>100</v>
      </c>
      <c r="D8" s="80"/>
      <c r="E8" s="80" t="s">
        <v>101</v>
      </c>
      <c r="F8" s="80"/>
      <c r="G8" s="81">
        <v>45903.0</v>
      </c>
      <c r="H8" s="81">
        <v>45907.0</v>
      </c>
      <c r="I8" s="82">
        <f t="shared" si="1"/>
        <v>4</v>
      </c>
      <c r="J8" s="83" t="s">
        <v>21</v>
      </c>
      <c r="K8" s="84"/>
      <c r="L8" s="4"/>
      <c r="M8" s="37" t="s">
        <v>27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30.0" customHeight="1">
      <c r="A9" s="1"/>
      <c r="B9" s="30"/>
      <c r="C9" s="80" t="s">
        <v>102</v>
      </c>
      <c r="D9" s="80"/>
      <c r="E9" s="80" t="s">
        <v>103</v>
      </c>
      <c r="F9" s="80"/>
      <c r="G9" s="81">
        <v>45907.0</v>
      </c>
      <c r="H9" s="81">
        <v>45912.0</v>
      </c>
      <c r="I9" s="82">
        <f t="shared" si="1"/>
        <v>5</v>
      </c>
      <c r="J9" s="83" t="s">
        <v>21</v>
      </c>
      <c r="K9" s="84"/>
      <c r="L9" s="4"/>
      <c r="M9" s="38" t="s">
        <v>25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30.0" customHeight="1">
      <c r="A10" s="1"/>
      <c r="B10" s="30"/>
      <c r="C10" s="80" t="s">
        <v>104</v>
      </c>
      <c r="D10" s="80"/>
      <c r="E10" s="80" t="s">
        <v>103</v>
      </c>
      <c r="F10" s="80"/>
      <c r="G10" s="81">
        <v>45909.0</v>
      </c>
      <c r="H10" s="81">
        <v>45913.0</v>
      </c>
      <c r="I10" s="82">
        <f t="shared" si="1"/>
        <v>4</v>
      </c>
      <c r="J10" s="35" t="s">
        <v>21</v>
      </c>
      <c r="K10" s="84"/>
      <c r="L10" s="4"/>
      <c r="M10" s="39" t="s">
        <v>35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30.0" customHeight="1">
      <c r="A11" s="1"/>
      <c r="B11" s="40"/>
      <c r="C11" s="40" t="s">
        <v>36</v>
      </c>
      <c r="D11" s="40"/>
      <c r="E11" s="40" t="s">
        <v>103</v>
      </c>
      <c r="F11" s="40"/>
      <c r="G11" s="85">
        <v>45916.0</v>
      </c>
      <c r="H11" s="85">
        <v>45924.0</v>
      </c>
      <c r="I11" s="86">
        <f t="shared" si="1"/>
        <v>8</v>
      </c>
      <c r="J11" s="83" t="s">
        <v>25</v>
      </c>
      <c r="K11" s="87"/>
      <c r="L11" s="4"/>
      <c r="M11" s="47" t="s">
        <v>37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30.0" customHeight="1">
      <c r="A12" s="1"/>
      <c r="B12" s="30"/>
      <c r="C12" s="48" t="s">
        <v>105</v>
      </c>
      <c r="D12" s="88"/>
      <c r="E12" s="88" t="s">
        <v>99</v>
      </c>
      <c r="F12" s="88"/>
      <c r="G12" s="89">
        <v>45916.0</v>
      </c>
      <c r="H12" s="89">
        <v>45917.0</v>
      </c>
      <c r="I12" s="90">
        <f t="shared" si="1"/>
        <v>1</v>
      </c>
      <c r="J12" s="83" t="s">
        <v>25</v>
      </c>
      <c r="K12" s="91"/>
      <c r="L12" s="4"/>
      <c r="M12" s="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30.0" customHeight="1">
      <c r="A13" s="1"/>
      <c r="B13" s="30"/>
      <c r="C13" s="88" t="s">
        <v>106</v>
      </c>
      <c r="D13" s="88"/>
      <c r="E13" s="88" t="s">
        <v>101</v>
      </c>
      <c r="F13" s="88"/>
      <c r="G13" s="89">
        <v>45917.0</v>
      </c>
      <c r="H13" s="89">
        <v>45921.0</v>
      </c>
      <c r="I13" s="90">
        <f t="shared" si="1"/>
        <v>4</v>
      </c>
      <c r="J13" s="83" t="s">
        <v>27</v>
      </c>
      <c r="K13" s="91"/>
      <c r="L13" s="4"/>
      <c r="M13" s="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30.0" customHeight="1">
      <c r="A14" s="1"/>
      <c r="B14" s="30"/>
      <c r="C14" s="88" t="s">
        <v>107</v>
      </c>
      <c r="D14" s="88"/>
      <c r="E14" s="88" t="s">
        <v>108</v>
      </c>
      <c r="F14" s="88"/>
      <c r="G14" s="89">
        <v>45922.0</v>
      </c>
      <c r="H14" s="89">
        <v>45924.0</v>
      </c>
      <c r="I14" s="90">
        <f t="shared" si="1"/>
        <v>2</v>
      </c>
      <c r="J14" s="83" t="s">
        <v>37</v>
      </c>
      <c r="K14" s="91"/>
      <c r="L14" s="4"/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30.0" customHeight="1">
      <c r="A15" s="1"/>
      <c r="B15" s="52"/>
      <c r="C15" s="52" t="s">
        <v>41</v>
      </c>
      <c r="D15" s="52"/>
      <c r="E15" s="52" t="s">
        <v>108</v>
      </c>
      <c r="F15" s="52"/>
      <c r="G15" s="92">
        <v>45925.0</v>
      </c>
      <c r="H15" s="92">
        <v>45935.0</v>
      </c>
      <c r="I15" s="93">
        <f t="shared" si="1"/>
        <v>10</v>
      </c>
      <c r="J15" s="83" t="s">
        <v>35</v>
      </c>
      <c r="K15" s="94"/>
      <c r="L15" s="4"/>
      <c r="M15" s="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30.0" customHeight="1">
      <c r="A16" s="1"/>
      <c r="B16" s="30"/>
      <c r="C16" s="88" t="s">
        <v>109</v>
      </c>
      <c r="D16" s="88"/>
      <c r="E16" s="88" t="s">
        <v>99</v>
      </c>
      <c r="F16" s="88"/>
      <c r="G16" s="89">
        <v>45925.0</v>
      </c>
      <c r="H16" s="89">
        <v>45929.0</v>
      </c>
      <c r="I16" s="90">
        <f t="shared" si="1"/>
        <v>4</v>
      </c>
      <c r="J16" s="83" t="s">
        <v>35</v>
      </c>
      <c r="K16" s="91"/>
      <c r="L16" s="4"/>
      <c r="M16" s="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30.0" customHeight="1">
      <c r="A17" s="1"/>
      <c r="B17" s="30"/>
      <c r="C17" s="88" t="s">
        <v>110</v>
      </c>
      <c r="D17" s="88"/>
      <c r="E17" s="88" t="s">
        <v>111</v>
      </c>
      <c r="F17" s="88"/>
      <c r="G17" s="89">
        <v>45927.0</v>
      </c>
      <c r="H17" s="89">
        <v>45932.0</v>
      </c>
      <c r="I17" s="90">
        <f t="shared" si="1"/>
        <v>5</v>
      </c>
      <c r="J17" s="83" t="s">
        <v>35</v>
      </c>
      <c r="K17" s="91"/>
      <c r="L17" s="4"/>
      <c r="M17" s="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30.0" customHeight="1">
      <c r="A18" s="1"/>
      <c r="B18" s="30"/>
      <c r="C18" s="88" t="s">
        <v>112</v>
      </c>
      <c r="D18" s="88"/>
      <c r="E18" s="88" t="s">
        <v>103</v>
      </c>
      <c r="F18" s="88"/>
      <c r="G18" s="89">
        <v>45932.0</v>
      </c>
      <c r="H18" s="89">
        <v>45935.0</v>
      </c>
      <c r="I18" s="90">
        <f t="shared" si="1"/>
        <v>3</v>
      </c>
      <c r="J18" s="83" t="s">
        <v>35</v>
      </c>
      <c r="K18" s="91"/>
      <c r="L18" s="4"/>
      <c r="M18" s="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9.75" customHeight="1">
      <c r="A19" s="1"/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328.5" customHeight="1">
      <c r="A20" s="1"/>
      <c r="B20" s="1"/>
      <c r="C20" s="4"/>
      <c r="D20" s="4"/>
      <c r="E20" s="4"/>
      <c r="F20" s="4"/>
      <c r="G20" s="4"/>
      <c r="H20" s="4"/>
      <c r="I20" s="4"/>
      <c r="J20" s="4"/>
      <c r="K20" s="4"/>
      <c r="L20" s="4"/>
      <c r="M20" s="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2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49.5" customHeight="1">
      <c r="A22" s="95"/>
      <c r="B22" s="96"/>
      <c r="C22" s="97"/>
      <c r="D22" s="97"/>
      <c r="E22" s="97"/>
      <c r="F22" s="97"/>
      <c r="G22" s="97"/>
      <c r="H22" s="97"/>
      <c r="I22" s="97"/>
      <c r="J22" s="97"/>
      <c r="K22" s="98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</row>
    <row r="23">
      <c r="A23" s="1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4"/>
      <c r="M23" s="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"/>
      <c r="B24" s="1"/>
      <c r="C24" s="4"/>
      <c r="D24" s="4"/>
      <c r="E24" s="4"/>
      <c r="F24" s="4"/>
      <c r="G24" s="4"/>
      <c r="H24" s="4"/>
      <c r="I24" s="4"/>
      <c r="J24" s="4"/>
      <c r="K24" s="4"/>
      <c r="L24" s="4"/>
      <c r="M24" s="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1"/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  <c r="M25" s="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1"/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1"/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1"/>
      <c r="B28" s="1"/>
      <c r="C28" s="4"/>
      <c r="D28" s="4"/>
      <c r="E28" s="4"/>
      <c r="F28" s="4"/>
      <c r="G28" s="4"/>
      <c r="H28" s="4"/>
      <c r="I28" s="4"/>
      <c r="J28" s="4"/>
      <c r="K28" s="4"/>
      <c r="L28" s="4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1"/>
      <c r="B29" s="1"/>
      <c r="C29" s="4"/>
      <c r="D29" s="4"/>
      <c r="E29" s="4"/>
      <c r="F29" s="4"/>
      <c r="G29" s="4"/>
      <c r="H29" s="4"/>
      <c r="I29" s="4"/>
      <c r="J29" s="4"/>
      <c r="K29" s="4"/>
      <c r="L29" s="4"/>
      <c r="M29" s="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1"/>
      <c r="B30" s="1"/>
      <c r="C30" s="4"/>
      <c r="D30" s="4"/>
      <c r="E30" s="4"/>
      <c r="F30" s="4"/>
      <c r="G30" s="4"/>
      <c r="H30" s="4"/>
      <c r="I30" s="4"/>
      <c r="J30" s="4"/>
      <c r="K30" s="4"/>
      <c r="L30" s="4"/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1"/>
      <c r="B31" s="1"/>
      <c r="C31" s="4"/>
      <c r="D31" s="4"/>
      <c r="E31" s="4"/>
      <c r="F31" s="4"/>
      <c r="G31" s="4"/>
      <c r="H31" s="4"/>
      <c r="I31" s="4"/>
      <c r="J31" s="4"/>
      <c r="K31" s="4"/>
      <c r="L31" s="4"/>
      <c r="M31" s="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1"/>
      <c r="B32" s="1"/>
      <c r="C32" s="4"/>
      <c r="D32" s="4"/>
      <c r="E32" s="4"/>
      <c r="F32" s="4"/>
      <c r="G32" s="4"/>
      <c r="H32" s="4"/>
      <c r="I32" s="4"/>
      <c r="J32" s="4"/>
      <c r="K32" s="4"/>
      <c r="L32" s="4"/>
      <c r="M32" s="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1"/>
      <c r="B33" s="1"/>
      <c r="C33" s="4"/>
      <c r="D33" s="4"/>
      <c r="E33" s="4"/>
      <c r="F33" s="4"/>
      <c r="G33" s="4"/>
      <c r="H33" s="4"/>
      <c r="I33" s="4"/>
      <c r="J33" s="4"/>
      <c r="K33" s="4"/>
      <c r="L33" s="4"/>
      <c r="M33" s="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1"/>
      <c r="B34" s="1"/>
      <c r="C34" s="4"/>
      <c r="D34" s="4"/>
      <c r="E34" s="4"/>
      <c r="F34" s="4"/>
      <c r="G34" s="4"/>
      <c r="H34" s="4"/>
      <c r="I34" s="4"/>
      <c r="J34" s="4"/>
      <c r="K34" s="4"/>
      <c r="L34" s="4"/>
      <c r="M34" s="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1"/>
      <c r="B35" s="1"/>
      <c r="C35" s="4"/>
      <c r="D35" s="4"/>
      <c r="E35" s="4"/>
      <c r="F35" s="4"/>
      <c r="G35" s="4"/>
      <c r="H35" s="4"/>
      <c r="I35" s="4"/>
      <c r="J35" s="4"/>
      <c r="K35" s="4"/>
      <c r="L35" s="4"/>
      <c r="M35" s="6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1"/>
      <c r="B36" s="1"/>
      <c r="C36" s="4"/>
      <c r="D36" s="4"/>
      <c r="E36" s="4"/>
      <c r="F36" s="4"/>
      <c r="G36" s="4"/>
      <c r="H36" s="4"/>
      <c r="I36" s="4"/>
      <c r="J36" s="4"/>
      <c r="K36" s="4"/>
      <c r="L36" s="4"/>
      <c r="M36" s="6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1"/>
      <c r="B37" s="1"/>
      <c r="C37" s="4"/>
      <c r="D37" s="4"/>
      <c r="E37" s="4"/>
      <c r="F37" s="4"/>
      <c r="G37" s="4"/>
      <c r="H37" s="4"/>
      <c r="I37" s="4"/>
      <c r="J37" s="4"/>
      <c r="K37" s="4"/>
      <c r="L37" s="4"/>
      <c r="M37" s="6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1"/>
      <c r="B38" s="1"/>
      <c r="C38" s="4"/>
      <c r="D38" s="4"/>
      <c r="E38" s="4"/>
      <c r="F38" s="4"/>
      <c r="G38" s="4"/>
      <c r="H38" s="4"/>
      <c r="I38" s="4"/>
      <c r="J38" s="4"/>
      <c r="K38" s="4"/>
      <c r="L38" s="4"/>
      <c r="M38" s="67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1"/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67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1"/>
      <c r="B40" s="1"/>
      <c r="C40" s="4"/>
      <c r="D40" s="4"/>
      <c r="E40" s="4"/>
      <c r="F40" s="4"/>
      <c r="G40" s="4"/>
      <c r="H40" s="4"/>
      <c r="I40" s="4"/>
      <c r="J40" s="4"/>
      <c r="K40" s="4"/>
      <c r="L40" s="4"/>
      <c r="M40" s="67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1"/>
      <c r="B41" s="1"/>
      <c r="C41" s="4"/>
      <c r="D41" s="4"/>
      <c r="E41" s="4"/>
      <c r="F41" s="4"/>
      <c r="G41" s="4"/>
      <c r="H41" s="4"/>
      <c r="I41" s="4"/>
      <c r="J41" s="4"/>
      <c r="K41" s="4"/>
      <c r="L41" s="4"/>
      <c r="M41" s="67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1"/>
      <c r="B42" s="1"/>
      <c r="C42" s="4"/>
      <c r="D42" s="4"/>
      <c r="E42" s="4"/>
      <c r="F42" s="4"/>
      <c r="G42" s="4"/>
      <c r="H42" s="4"/>
      <c r="I42" s="4"/>
      <c r="J42" s="4"/>
      <c r="K42" s="4"/>
      <c r="L42" s="4"/>
      <c r="M42" s="67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1"/>
      <c r="B43" s="1"/>
      <c r="C43" s="4"/>
      <c r="D43" s="4"/>
      <c r="E43" s="4"/>
      <c r="F43" s="4"/>
      <c r="G43" s="4"/>
      <c r="H43" s="4"/>
      <c r="I43" s="4"/>
      <c r="J43" s="4"/>
      <c r="K43" s="4"/>
      <c r="L43" s="4"/>
      <c r="M43" s="67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1"/>
      <c r="B44" s="1"/>
      <c r="C44" s="4"/>
      <c r="D44" s="4"/>
      <c r="E44" s="4"/>
      <c r="F44" s="4"/>
      <c r="G44" s="4"/>
      <c r="H44" s="4"/>
      <c r="I44" s="4"/>
      <c r="J44" s="4"/>
      <c r="K44" s="4"/>
      <c r="L44" s="4"/>
      <c r="M44" s="67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1"/>
      <c r="B45" s="1"/>
      <c r="C45" s="4"/>
      <c r="D45" s="4"/>
      <c r="E45" s="4"/>
      <c r="F45" s="4"/>
      <c r="G45" s="4"/>
      <c r="H45" s="4"/>
      <c r="I45" s="4"/>
      <c r="J45" s="4"/>
      <c r="K45" s="4"/>
      <c r="L45" s="4"/>
      <c r="M45" s="67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1"/>
      <c r="B46" s="1"/>
      <c r="C46" s="4"/>
      <c r="D46" s="4"/>
      <c r="E46" s="4"/>
      <c r="F46" s="4"/>
      <c r="G46" s="4"/>
      <c r="H46" s="4"/>
      <c r="I46" s="4"/>
      <c r="J46" s="4"/>
      <c r="K46" s="4"/>
      <c r="L46" s="4"/>
      <c r="M46" s="67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1"/>
      <c r="B47" s="1"/>
      <c r="C47" s="4"/>
      <c r="D47" s="4"/>
      <c r="E47" s="4"/>
      <c r="F47" s="4"/>
      <c r="G47" s="4"/>
      <c r="H47" s="4"/>
      <c r="I47" s="4"/>
      <c r="J47" s="4"/>
      <c r="K47" s="4"/>
      <c r="L47" s="4"/>
      <c r="M47" s="67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1"/>
      <c r="B48" s="1"/>
      <c r="C48" s="4"/>
      <c r="D48" s="4"/>
      <c r="E48" s="4"/>
      <c r="F48" s="4"/>
      <c r="G48" s="4"/>
      <c r="H48" s="4"/>
      <c r="I48" s="4"/>
      <c r="J48" s="4"/>
      <c r="K48" s="4"/>
      <c r="L48" s="4"/>
      <c r="M48" s="67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1"/>
      <c r="B49" s="1"/>
      <c r="C49" s="4"/>
      <c r="D49" s="4"/>
      <c r="E49" s="4"/>
      <c r="F49" s="4"/>
      <c r="G49" s="4"/>
      <c r="H49" s="4"/>
      <c r="I49" s="4"/>
      <c r="J49" s="4"/>
      <c r="K49" s="4"/>
      <c r="L49" s="4"/>
      <c r="M49" s="67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1"/>
      <c r="B50" s="1"/>
      <c r="C50" s="4"/>
      <c r="D50" s="4"/>
      <c r="E50" s="4"/>
      <c r="F50" s="4"/>
      <c r="G50" s="4"/>
      <c r="H50" s="4"/>
      <c r="I50" s="4"/>
      <c r="J50" s="4"/>
      <c r="K50" s="4"/>
      <c r="L50" s="4"/>
      <c r="M50" s="67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1"/>
      <c r="B51" s="1"/>
      <c r="C51" s="4"/>
      <c r="D51" s="4"/>
      <c r="E51" s="4"/>
      <c r="F51" s="4"/>
      <c r="G51" s="4"/>
      <c r="H51" s="4"/>
      <c r="I51" s="4"/>
      <c r="J51" s="4"/>
      <c r="K51" s="4"/>
      <c r="L51" s="4"/>
      <c r="M51" s="67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1"/>
      <c r="B52" s="1"/>
      <c r="C52" s="4"/>
      <c r="D52" s="4"/>
      <c r="E52" s="4"/>
      <c r="F52" s="4"/>
      <c r="G52" s="4"/>
      <c r="H52" s="4"/>
      <c r="I52" s="4"/>
      <c r="J52" s="4"/>
      <c r="K52" s="4"/>
      <c r="L52" s="4"/>
      <c r="M52" s="67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1"/>
      <c r="B53" s="1"/>
      <c r="C53" s="4"/>
      <c r="D53" s="4"/>
      <c r="E53" s="4"/>
      <c r="F53" s="4"/>
      <c r="G53" s="4"/>
      <c r="H53" s="4"/>
      <c r="I53" s="4"/>
      <c r="J53" s="4"/>
      <c r="K53" s="4"/>
      <c r="L53" s="4"/>
      <c r="M53" s="67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1"/>
      <c r="B54" s="1"/>
      <c r="C54" s="4"/>
      <c r="D54" s="4"/>
      <c r="E54" s="4"/>
      <c r="F54" s="4"/>
      <c r="G54" s="4"/>
      <c r="H54" s="4"/>
      <c r="I54" s="4"/>
      <c r="J54" s="4"/>
      <c r="K54" s="4"/>
      <c r="L54" s="4"/>
      <c r="M54" s="67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1"/>
      <c r="B55" s="1"/>
      <c r="C55" s="4"/>
      <c r="D55" s="4"/>
      <c r="E55" s="4"/>
      <c r="F55" s="4"/>
      <c r="G55" s="4"/>
      <c r="H55" s="4"/>
      <c r="I55" s="4"/>
      <c r="J55" s="4"/>
      <c r="K55" s="4"/>
      <c r="L55" s="4"/>
      <c r="M55" s="67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1"/>
      <c r="B56" s="1"/>
      <c r="C56" s="4"/>
      <c r="D56" s="4"/>
      <c r="E56" s="4"/>
      <c r="F56" s="4"/>
      <c r="G56" s="4"/>
      <c r="H56" s="4"/>
      <c r="I56" s="4"/>
      <c r="J56" s="4"/>
      <c r="K56" s="4"/>
      <c r="L56" s="4"/>
      <c r="M56" s="67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67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1"/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67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67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67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1"/>
      <c r="B61" s="1"/>
      <c r="C61" s="4"/>
      <c r="D61" s="4"/>
      <c r="E61" s="4"/>
      <c r="F61" s="4"/>
      <c r="G61" s="4"/>
      <c r="H61" s="4"/>
      <c r="I61" s="4"/>
      <c r="J61" s="4"/>
      <c r="K61" s="4"/>
      <c r="L61" s="4"/>
      <c r="M61" s="67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1"/>
      <c r="B62" s="1"/>
      <c r="C62" s="4"/>
      <c r="D62" s="4"/>
      <c r="E62" s="4"/>
      <c r="F62" s="4"/>
      <c r="G62" s="4"/>
      <c r="H62" s="4"/>
      <c r="I62" s="4"/>
      <c r="J62" s="4"/>
      <c r="K62" s="4"/>
      <c r="L62" s="4"/>
      <c r="M62" s="67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1"/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67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1"/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67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1"/>
      <c r="B65" s="1"/>
      <c r="C65" s="4"/>
      <c r="D65" s="4"/>
      <c r="E65" s="4"/>
      <c r="F65" s="4"/>
      <c r="G65" s="4"/>
      <c r="H65" s="4"/>
      <c r="I65" s="4"/>
      <c r="J65" s="4"/>
      <c r="K65" s="4"/>
      <c r="L65" s="4"/>
      <c r="M65" s="67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1"/>
      <c r="B66" s="1"/>
      <c r="C66" s="4"/>
      <c r="D66" s="4"/>
      <c r="E66" s="4"/>
      <c r="F66" s="4"/>
      <c r="G66" s="4"/>
      <c r="H66" s="4"/>
      <c r="I66" s="4"/>
      <c r="J66" s="4"/>
      <c r="K66" s="4"/>
      <c r="L66" s="4"/>
      <c r="M66" s="67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1"/>
      <c r="B67" s="1"/>
      <c r="C67" s="4"/>
      <c r="D67" s="4"/>
      <c r="E67" s="4"/>
      <c r="F67" s="4"/>
      <c r="G67" s="4"/>
      <c r="H67" s="4"/>
      <c r="I67" s="4"/>
      <c r="J67" s="4"/>
      <c r="K67" s="4"/>
      <c r="L67" s="4"/>
      <c r="M67" s="67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1"/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67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1"/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67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1"/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67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1"/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67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1"/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67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1"/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67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1"/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67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1"/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67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1"/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67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1"/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67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1"/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67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1"/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67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1"/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67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1"/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67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1"/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67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1"/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67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1"/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67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1"/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67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1"/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67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67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1"/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67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1"/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67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1"/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67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1"/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67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1"/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67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67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1"/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67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1"/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67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1"/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67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1"/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67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1"/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67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67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1"/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67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1"/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67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1"/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67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1"/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67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1"/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67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67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1"/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67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1"/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67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1"/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67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1"/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67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1"/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67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1"/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67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1"/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67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1"/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67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1"/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67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1"/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67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1"/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67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1"/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67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1"/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67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1"/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67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1"/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67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6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1"/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67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1"/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67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1"/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67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1"/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67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1"/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67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67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1"/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67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1"/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67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1"/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67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1"/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67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1"/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67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67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1"/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67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1"/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67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1"/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67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1"/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67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1"/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67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67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1"/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67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1"/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67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1"/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67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1"/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67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1"/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67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67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1"/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67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1"/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67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1"/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67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1"/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67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1"/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67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67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1"/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67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1"/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67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1"/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67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1"/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67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1"/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67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67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1"/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67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1"/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67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1"/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67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1"/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67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1"/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67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67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1"/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67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1"/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67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1"/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67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1"/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67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1"/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67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67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1"/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67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1"/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67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1"/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67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1"/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67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1"/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67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1"/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67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1"/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67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1"/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67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1"/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67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1"/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67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1"/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67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1"/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67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1"/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67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1"/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67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1"/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67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1"/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67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1"/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67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1"/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67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1"/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67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1"/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67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1"/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67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1"/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67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1"/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67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1"/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67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1"/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67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1"/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67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1"/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67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1"/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67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1"/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67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1"/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67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1"/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67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1"/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67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1"/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67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1"/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67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1"/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67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1"/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67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1"/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67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1"/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67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1"/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67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1"/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67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1"/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67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1"/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67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1"/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67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1"/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67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1"/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67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67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1"/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67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1"/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67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1"/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67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1"/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67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1"/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67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1"/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67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1"/>
      <c r="B222" s="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67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67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67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67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67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67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67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67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67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67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67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67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67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67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67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67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67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67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67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67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67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67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67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67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67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67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67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67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67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67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67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67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67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67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67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67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67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67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67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67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67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67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67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67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67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67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67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67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67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67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67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67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67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67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67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67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67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67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67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67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67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67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67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67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67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67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67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67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67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67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67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67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67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67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67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67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67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67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67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67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67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67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67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67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67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67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67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67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67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67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67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67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67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67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67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67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67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67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67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67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67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67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67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67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67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67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67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67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67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67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67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67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67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67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67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67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67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67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67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67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67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67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67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67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67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67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67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67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67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67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67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67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67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67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67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67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67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67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67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67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67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67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67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67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67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67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67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67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67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67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67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67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67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67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67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67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67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67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67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67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67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67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67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67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67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67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67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67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67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67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67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67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67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67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67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67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67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67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67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67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67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67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67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67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67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67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67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67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67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67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67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67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67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67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67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67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67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67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67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67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67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67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67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67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67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67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67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67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67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67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67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67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67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67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67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67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67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67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67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67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67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67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67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67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67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67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67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67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67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67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67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67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67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67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67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67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67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67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67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67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67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67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67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67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67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67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67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67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67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67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67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67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67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67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67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67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67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67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67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67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67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67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67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67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67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67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67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67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67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67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67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67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67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67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67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67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67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67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67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67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67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67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67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67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67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67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67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67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67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67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67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67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67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67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67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67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67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67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67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67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67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67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67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67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67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67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67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67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67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67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67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67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67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67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67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67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67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67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67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67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67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67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67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67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67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67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67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67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67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67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67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67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67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67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67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67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67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67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67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67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67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67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67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67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67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67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67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67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67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67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67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67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67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67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67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67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67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67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67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67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67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67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67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67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67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67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67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67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67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67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67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67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67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67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67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67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67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67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67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67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67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67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67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67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67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67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67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67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67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67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67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67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67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67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67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67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67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67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67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67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67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67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67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67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67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67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67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67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67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67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67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67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67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67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67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67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67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67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67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67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67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67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67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67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67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67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67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67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67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67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67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67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67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67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67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67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67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67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67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67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67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67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67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67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67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67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67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67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67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67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67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67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67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67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67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67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67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67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67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67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67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67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67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67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67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67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67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67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67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67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67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67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67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67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67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67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67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67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67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67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67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67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67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67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67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67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67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67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67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67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67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67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67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67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67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67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67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67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67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67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67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67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67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67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67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67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67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67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67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67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67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67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67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67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67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67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67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67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67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67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67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67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67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67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67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67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67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67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67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67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67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67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67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67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67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67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67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67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67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67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67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67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67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67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67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67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67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67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67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67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67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67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67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67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67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67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67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67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67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67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67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67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67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67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67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67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67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67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67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67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67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67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67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67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67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67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67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67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67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67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67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67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67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67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67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67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67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67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67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67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67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67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67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67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67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67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67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67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67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67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67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67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67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67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67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67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67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67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67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67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67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67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67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67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67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67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67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67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67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67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67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67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67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67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67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67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67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67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67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67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67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67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67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67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67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67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67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67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67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67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67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67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67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67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67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67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67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67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67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67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67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67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67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67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67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67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67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67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67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67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67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67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67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67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67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67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67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67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67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67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67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67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67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67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67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67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67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67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67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67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67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67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67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67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67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67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67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67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67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67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67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67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67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67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67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67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67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67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67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67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67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67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67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67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67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67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67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67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67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67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67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67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67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67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67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67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67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67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67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67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67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67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67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67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67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67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67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67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67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67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67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67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67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67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67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67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67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67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67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67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67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67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67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67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67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67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67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67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67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67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67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67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67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67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67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67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67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67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67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67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67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67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67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67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67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67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67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67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67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67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67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67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67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67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67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67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67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67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67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1">
    <mergeCell ref="B22:K22"/>
  </mergeCells>
  <conditionalFormatting sqref="J7:J18">
    <cfRule type="containsText" dxfId="0" priority="1" operator="containsText" text="On Hold">
      <formula>NOT(ISERROR(SEARCH(("On Hold"),(J7))))</formula>
    </cfRule>
  </conditionalFormatting>
  <conditionalFormatting sqref="J7:J18">
    <cfRule type="containsText" dxfId="1" priority="2" operator="containsText" text="Not Started">
      <formula>NOT(ISERROR(SEARCH(("Not Started"),(J7))))</formula>
    </cfRule>
  </conditionalFormatting>
  <conditionalFormatting sqref="J7:J18">
    <cfRule type="containsText" dxfId="2" priority="3" operator="containsText" text="In Progress">
      <formula>NOT(ISERROR(SEARCH(("In Progress"),(J7))))</formula>
    </cfRule>
  </conditionalFormatting>
  <conditionalFormatting sqref="J7:J18">
    <cfRule type="containsText" dxfId="3" priority="4" operator="containsText" text="Complete">
      <formula>NOT(ISERROR(SEARCH(("Complete"),(J7))))</formula>
    </cfRule>
  </conditionalFormatting>
  <conditionalFormatting sqref="J7:J18">
    <cfRule type="containsText" dxfId="4" priority="5" operator="containsText" text="Overdue">
      <formula>NOT(ISERROR(SEARCH(("Overdue"),(J7))))</formula>
    </cfRule>
  </conditionalFormatting>
  <dataValidations>
    <dataValidation type="list" allowBlank="1" showErrorMessage="1" sqref="J7:J18">
      <formula1>$M$7:$M$11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1.22" defaultRowHeight="15.0"/>
  <cols>
    <col customWidth="1" min="1" max="1" width="2.78"/>
    <col customWidth="1" min="2" max="2" width="2.89"/>
    <col customWidth="1" min="3" max="26" width="2.78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100"/>
      <c r="B2" s="101" t="s">
        <v>113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ragaz</dc:creator>
</cp:coreProperties>
</file>